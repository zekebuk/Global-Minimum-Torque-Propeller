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zbukovan_calpoly_edu/Documents/ME 599 THESIS/"/>
    </mc:Choice>
  </mc:AlternateContent>
  <xr:revisionPtr revIDLastSave="20" documentId="8_{EE6CA0CB-E3D3-4026-93AE-D11084FA74B1}" xr6:coauthVersionLast="47" xr6:coauthVersionMax="47" xr10:uidLastSave="{0DE6CB83-2CFD-46A7-9A7D-091F8711268E}"/>
  <bookViews>
    <workbookView xWindow="-96" yWindow="-96" windowWidth="20928" windowHeight="12432" xr2:uid="{9F5CC452-2231-4752-8586-65A915C47FE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6" i="1" l="1"/>
  <c r="R7" i="1"/>
  <c r="S7" i="1" s="1"/>
  <c r="T7" i="1" s="1"/>
  <c r="R8" i="1"/>
  <c r="S8" i="1" s="1"/>
  <c r="T8" i="1" s="1"/>
  <c r="R92" i="1"/>
  <c r="S92" i="1" s="1"/>
  <c r="R91" i="1"/>
  <c r="S91" i="1" s="1"/>
  <c r="R90" i="1"/>
  <c r="S90" i="1" s="1"/>
  <c r="R89" i="1"/>
  <c r="S89" i="1" s="1"/>
  <c r="R88" i="1"/>
  <c r="S88" i="1" s="1"/>
  <c r="R87" i="1"/>
  <c r="S87" i="1" s="1"/>
  <c r="R86" i="1"/>
  <c r="S86" i="1" s="1"/>
  <c r="R85" i="1"/>
  <c r="S85" i="1" s="1"/>
  <c r="R84" i="1"/>
  <c r="S84" i="1" s="1"/>
  <c r="R83" i="1"/>
  <c r="S83" i="1" s="1"/>
  <c r="R82" i="1"/>
  <c r="S82" i="1" s="1"/>
  <c r="R81" i="1"/>
  <c r="S81" i="1" s="1"/>
  <c r="R80" i="1"/>
  <c r="S80" i="1" s="1"/>
  <c r="R79" i="1"/>
  <c r="S79" i="1" s="1"/>
  <c r="R78" i="1"/>
  <c r="S78" i="1" s="1"/>
  <c r="R77" i="1"/>
  <c r="S77" i="1" s="1"/>
  <c r="R76" i="1"/>
  <c r="S76" i="1" s="1"/>
  <c r="R75" i="1"/>
  <c r="S75" i="1" s="1"/>
  <c r="R74" i="1"/>
  <c r="S74" i="1" s="1"/>
  <c r="R73" i="1"/>
  <c r="S73" i="1" s="1"/>
  <c r="R72" i="1"/>
  <c r="S72" i="1" s="1"/>
  <c r="R71" i="1"/>
  <c r="S71" i="1" s="1"/>
  <c r="R70" i="1"/>
  <c r="S70" i="1" s="1"/>
  <c r="R69" i="1"/>
  <c r="S69" i="1" s="1"/>
  <c r="R68" i="1"/>
  <c r="S68" i="1" s="1"/>
  <c r="R67" i="1"/>
  <c r="S67" i="1" s="1"/>
  <c r="R66" i="1"/>
  <c r="S66" i="1" s="1"/>
  <c r="R65" i="1"/>
  <c r="S65" i="1" s="1"/>
  <c r="R64" i="1"/>
  <c r="S64" i="1" s="1"/>
  <c r="R63" i="1"/>
  <c r="S63" i="1" s="1"/>
  <c r="R62" i="1"/>
  <c r="S62" i="1" s="1"/>
  <c r="R61" i="1"/>
  <c r="S61" i="1" s="1"/>
  <c r="R60" i="1"/>
  <c r="S60" i="1" s="1"/>
  <c r="R59" i="1"/>
  <c r="S59" i="1" s="1"/>
  <c r="R58" i="1"/>
  <c r="S58" i="1" s="1"/>
  <c r="R57" i="1"/>
  <c r="S57" i="1" s="1"/>
  <c r="R56" i="1"/>
  <c r="S56" i="1" s="1"/>
  <c r="R43" i="1"/>
  <c r="S43" i="1" s="1"/>
  <c r="R42" i="1"/>
  <c r="S42" i="1" s="1"/>
  <c r="R41" i="1"/>
  <c r="S41" i="1" s="1"/>
  <c r="T41" i="1" s="1"/>
  <c r="R40" i="1"/>
  <c r="S40" i="1" s="1"/>
  <c r="T40" i="1" s="1"/>
  <c r="R39" i="1"/>
  <c r="R38" i="1"/>
  <c r="R37" i="1"/>
  <c r="R36" i="1"/>
  <c r="S36" i="1" s="1"/>
  <c r="R35" i="1"/>
  <c r="R34" i="1"/>
  <c r="R33" i="1"/>
  <c r="R32" i="1"/>
  <c r="S32" i="1" s="1"/>
  <c r="R31" i="1"/>
  <c r="R30" i="1"/>
  <c r="S30" i="1" s="1"/>
  <c r="R29" i="1"/>
  <c r="R28" i="1"/>
  <c r="S28" i="1" s="1"/>
  <c r="T28" i="1" s="1"/>
  <c r="R27" i="1"/>
  <c r="S27" i="1" s="1"/>
  <c r="T27" i="1" s="1"/>
  <c r="R26" i="1"/>
  <c r="R25" i="1"/>
  <c r="R24" i="1"/>
  <c r="R23" i="1"/>
  <c r="R22" i="1"/>
  <c r="R21" i="1"/>
  <c r="S21" i="1" s="1"/>
  <c r="T21" i="1" s="1"/>
  <c r="R20" i="1"/>
  <c r="S20" i="1" s="1"/>
  <c r="T20" i="1" s="1"/>
  <c r="R19" i="1"/>
  <c r="R18" i="1"/>
  <c r="R17" i="1"/>
  <c r="R16" i="1"/>
  <c r="S16" i="1" s="1"/>
  <c r="R15" i="1"/>
  <c r="R14" i="1"/>
  <c r="R13" i="1"/>
  <c r="S13" i="1" s="1"/>
  <c r="R12" i="1"/>
  <c r="S12" i="1" s="1"/>
  <c r="R11" i="1"/>
  <c r="R10" i="1"/>
  <c r="R9" i="1"/>
  <c r="S9" i="1" s="1"/>
  <c r="X7" i="1"/>
  <c r="T13" i="1" l="1"/>
  <c r="T16" i="1"/>
  <c r="S23" i="1"/>
  <c r="T23" i="1" s="1"/>
  <c r="T36" i="1"/>
  <c r="S10" i="1"/>
  <c r="T10" i="1" s="1"/>
  <c r="T43" i="1"/>
  <c r="T30" i="1"/>
  <c r="S37" i="1"/>
  <c r="T37" i="1" s="1"/>
  <c r="S24" i="1"/>
  <c r="T24" i="1" s="1"/>
  <c r="S31" i="1"/>
  <c r="T31" i="1" s="1"/>
  <c r="S38" i="1"/>
  <c r="T38" i="1" s="1"/>
  <c r="S25" i="1"/>
  <c r="T25" i="1" s="1"/>
  <c r="S6" i="1"/>
  <c r="T6" i="1" s="1"/>
  <c r="T12" i="1"/>
  <c r="S19" i="1"/>
  <c r="T19" i="1" s="1"/>
  <c r="T32" i="1"/>
  <c r="S39" i="1"/>
  <c r="T39" i="1" s="1"/>
  <c r="S26" i="1"/>
  <c r="T26" i="1" s="1"/>
  <c r="S35" i="1"/>
  <c r="T35" i="1" s="1"/>
  <c r="S22" i="1"/>
  <c r="T22" i="1" s="1"/>
  <c r="S29" i="1"/>
  <c r="T29" i="1" s="1"/>
  <c r="T42" i="1"/>
  <c r="T9" i="1"/>
  <c r="S17" i="1"/>
  <c r="T17" i="1" s="1"/>
  <c r="S11" i="1"/>
  <c r="T11" i="1" s="1"/>
  <c r="S18" i="1"/>
  <c r="T18" i="1" s="1"/>
  <c r="S33" i="1"/>
  <c r="T33" i="1" s="1"/>
  <c r="S15" i="1"/>
  <c r="T15" i="1" s="1"/>
  <c r="S14" i="1"/>
  <c r="T14" i="1" s="1"/>
  <c r="S34" i="1"/>
  <c r="T34" i="1" s="1"/>
</calcChain>
</file>

<file path=xl/sharedStrings.xml><?xml version="1.0" encoding="utf-8"?>
<sst xmlns="http://schemas.openxmlformats.org/spreadsheetml/2006/main" count="226" uniqueCount="64">
  <si>
    <t>Prandtl 18 inch</t>
  </si>
  <si>
    <t>Prandtl 22 inch</t>
  </si>
  <si>
    <t>r/R</t>
  </si>
  <si>
    <t>c/R</t>
  </si>
  <si>
    <t>r [in]</t>
  </si>
  <si>
    <t>c [in]</t>
  </si>
  <si>
    <t>Airfoil</t>
  </si>
  <si>
    <t>Twist (β)</t>
  </si>
  <si>
    <t>Phi</t>
  </si>
  <si>
    <t>alpha</t>
  </si>
  <si>
    <t>MH115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</si>
  <si>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</si>
  <si>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</si>
  <si>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</si>
  <si>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</si>
  <si>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</si>
  <si>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</si>
  <si>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</si>
  <si>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</si>
  <si>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</si>
  <si>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</si>
  <si>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</si>
  <si>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</si>
  <si>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</si>
  <si>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</si>
  <si>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</si>
  <si>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</si>
  <si>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</si>
  <si>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</si>
  <si>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</si>
  <si>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</si>
  <si>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</si>
  <si>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</si>
  <si>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</si>
  <si>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</si>
  <si>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</si>
  <si>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</si>
  <si>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</si>
  <si>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A3</t>
  </si>
  <si>
    <t>r28</t>
  </si>
  <si>
    <t>r29</t>
  </si>
  <si>
    <t>r30</t>
  </si>
  <si>
    <t>A4</t>
  </si>
  <si>
    <t>r31</t>
  </si>
  <si>
    <t>r32</t>
  </si>
  <si>
    <t>A6</t>
  </si>
  <si>
    <t>r33</t>
  </si>
  <si>
    <t>A7</t>
  </si>
  <si>
    <t>r34</t>
  </si>
  <si>
    <t>A11</t>
  </si>
  <si>
    <t>r35</t>
  </si>
  <si>
    <t>A13</t>
  </si>
  <si>
    <t>r36</t>
  </si>
  <si>
    <t>s4310</t>
  </si>
  <si>
    <t>r37</t>
  </si>
  <si>
    <t>r38</t>
  </si>
  <si>
    <t>MIL 18 inch</t>
  </si>
  <si>
    <t>MIL 22 inch</t>
  </si>
  <si>
    <t>Alpha</t>
  </si>
  <si>
    <t>b_calc</t>
  </si>
  <si>
    <t>v0  [m/s]</t>
  </si>
  <si>
    <t>omega [rpm]</t>
  </si>
  <si>
    <t>[rad/s]</t>
  </si>
  <si>
    <t>Station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</si>
</sst>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horizontal="center" vertical="top"/>
    </xf>
    <xf numFmtId="2" fontId="0" fillId="3" borderId="14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3" borderId="15" xfId="0" applyNumberForma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2" fontId="0" fillId="3" borderId="16" xfId="0" applyNumberFormat="1" applyFill="1" applyBorder="1" applyAlignment="1">
      <alignment horizontal="center"/>
    </xf>
    <xf numFmtId="164" fontId="0" fillId="3" borderId="17" xfId="0" applyNumberFormat="1" applyFill="1" applyBorder="1" applyAlignment="1">
      <alignment horizontal="center"/>
    </xf>
    <xf numFmtId="2" fontId="0" fillId="4" borderId="17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top"/>
    </xf>
    <xf numFmtId="0" fontId="1" fillId="5" borderId="11" xfId="0" applyFont="1" applyFill="1" applyBorder="1" applyAlignment="1">
      <alignment horizontal="center" vertical="top"/>
    </xf>
    <xf numFmtId="0" fontId="1" fillId="5" borderId="13" xfId="0" applyFont="1" applyFill="1" applyBorder="1" applyAlignment="1">
      <alignment horizontal="center" vertical="top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2" fontId="0" fillId="5" borderId="17" xfId="0" applyNumberFormat="1" applyFill="1" applyBorder="1" applyAlignment="1">
      <alignment horizontal="center"/>
    </xf>
    <xf numFmtId="164" fontId="0" fillId="5" borderId="17" xfId="0" applyNumberFormat="1" applyFill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1" fillId="0" borderId="19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2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473280384090919"/>
          <c:y val="0.13099061968135309"/>
          <c:w val="0.82611605531942367"/>
          <c:h val="0.72963454311791154"/>
        </c:manualLayout>
      </c:layout>
      <c:scatterChart>
        <c:scatterStyle val="lineMarker"/>
        <c:varyColors val="0"/>
        <c:ser>
          <c:idx val="0"/>
          <c:order val="0"/>
          <c:tx>
            <c:v>Prandtl</c:v>
          </c:tx>
          <c:spPr>
            <a:ln w="25400" cap="rnd">
              <a:solidFill>
                <a:sysClr val="windowText" lastClr="00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'[1]Propeller Geometry'!$N$7:$N$44</c:f>
              <c:numCache>
                <c:formatCode>0.00</c:formatCode>
                <c:ptCount val="38"/>
                <c:pt idx="0">
                  <c:v>2.2000000000000002</c:v>
                </c:pt>
                <c:pt idx="1">
                  <c:v>2.42</c:v>
                </c:pt>
                <c:pt idx="2">
                  <c:v>2.640000000000001</c:v>
                </c:pt>
                <c:pt idx="3">
                  <c:v>2.86</c:v>
                </c:pt>
                <c:pt idx="4">
                  <c:v>3.08</c:v>
                </c:pt>
                <c:pt idx="5">
                  <c:v>3.3</c:v>
                </c:pt>
                <c:pt idx="6">
                  <c:v>3.52</c:v>
                </c:pt>
                <c:pt idx="7">
                  <c:v>3.74</c:v>
                </c:pt>
                <c:pt idx="8">
                  <c:v>3.96</c:v>
                </c:pt>
                <c:pt idx="9">
                  <c:v>4.1800000000000006</c:v>
                </c:pt>
                <c:pt idx="10">
                  <c:v>4.4000000000000004</c:v>
                </c:pt>
                <c:pt idx="11">
                  <c:v>4.62</c:v>
                </c:pt>
                <c:pt idx="12">
                  <c:v>4.8400000000000007</c:v>
                </c:pt>
                <c:pt idx="13">
                  <c:v>5.0599999999999996</c:v>
                </c:pt>
                <c:pt idx="14">
                  <c:v>5.2800000000000011</c:v>
                </c:pt>
                <c:pt idx="15">
                  <c:v>5.5</c:v>
                </c:pt>
                <c:pt idx="16">
                  <c:v>5.72</c:v>
                </c:pt>
                <c:pt idx="17">
                  <c:v>5.9400000000000013</c:v>
                </c:pt>
                <c:pt idx="18">
                  <c:v>6.16</c:v>
                </c:pt>
                <c:pt idx="19">
                  <c:v>6.38</c:v>
                </c:pt>
                <c:pt idx="20">
                  <c:v>6.6000000000000014</c:v>
                </c:pt>
                <c:pt idx="21">
                  <c:v>6.82</c:v>
                </c:pt>
                <c:pt idx="22">
                  <c:v>6.82</c:v>
                </c:pt>
                <c:pt idx="23">
                  <c:v>7.04</c:v>
                </c:pt>
                <c:pt idx="24">
                  <c:v>7.48</c:v>
                </c:pt>
                <c:pt idx="25">
                  <c:v>7.7</c:v>
                </c:pt>
                <c:pt idx="26">
                  <c:v>7.9200000000000008</c:v>
                </c:pt>
                <c:pt idx="27">
                  <c:v>8.14</c:v>
                </c:pt>
                <c:pt idx="28">
                  <c:v>8.3600000000000012</c:v>
                </c:pt>
                <c:pt idx="29">
                  <c:v>8.58</c:v>
                </c:pt>
                <c:pt idx="30">
                  <c:v>8.8000000000000007</c:v>
                </c:pt>
                <c:pt idx="31">
                  <c:v>9.0200000000000014</c:v>
                </c:pt>
                <c:pt idx="32">
                  <c:v>9.4600000000000009</c:v>
                </c:pt>
                <c:pt idx="33">
                  <c:v>9.6800000000000015</c:v>
                </c:pt>
                <c:pt idx="34">
                  <c:v>10.01</c:v>
                </c:pt>
                <c:pt idx="35">
                  <c:v>10.43777777777778</c:v>
                </c:pt>
                <c:pt idx="36">
                  <c:v>10.767777777777781</c:v>
                </c:pt>
                <c:pt idx="37">
                  <c:v>11</c:v>
                </c:pt>
              </c:numCache>
            </c:numRef>
          </c:xVal>
          <c:yVal>
            <c:numRef>
              <c:f>'[1]Propeller Geometry'!$Q$7:$Q$44</c:f>
              <c:numCache>
                <c:formatCode>General</c:formatCode>
                <c:ptCount val="38"/>
                <c:pt idx="0">
                  <c:v>49.52</c:v>
                </c:pt>
                <c:pt idx="1">
                  <c:v>47.52</c:v>
                </c:pt>
                <c:pt idx="2">
                  <c:v>45.58</c:v>
                </c:pt>
                <c:pt idx="3">
                  <c:v>43.74</c:v>
                </c:pt>
                <c:pt idx="4">
                  <c:v>42.02</c:v>
                </c:pt>
                <c:pt idx="5">
                  <c:v>40.450000000000003</c:v>
                </c:pt>
                <c:pt idx="6">
                  <c:v>39.04</c:v>
                </c:pt>
                <c:pt idx="7">
                  <c:v>37.770000000000003</c:v>
                </c:pt>
                <c:pt idx="8">
                  <c:v>36.65</c:v>
                </c:pt>
                <c:pt idx="9">
                  <c:v>35.67</c:v>
                </c:pt>
                <c:pt idx="10">
                  <c:v>34.81</c:v>
                </c:pt>
                <c:pt idx="11">
                  <c:v>34.06</c:v>
                </c:pt>
                <c:pt idx="12">
                  <c:v>33.4</c:v>
                </c:pt>
                <c:pt idx="13">
                  <c:v>32.81</c:v>
                </c:pt>
                <c:pt idx="14">
                  <c:v>32.28</c:v>
                </c:pt>
                <c:pt idx="15">
                  <c:v>31.8</c:v>
                </c:pt>
                <c:pt idx="16">
                  <c:v>31.34</c:v>
                </c:pt>
                <c:pt idx="17">
                  <c:v>30.9</c:v>
                </c:pt>
                <c:pt idx="18">
                  <c:v>30.47</c:v>
                </c:pt>
                <c:pt idx="19">
                  <c:v>30.04</c:v>
                </c:pt>
                <c:pt idx="20">
                  <c:v>29.61</c:v>
                </c:pt>
                <c:pt idx="21">
                  <c:v>29.16</c:v>
                </c:pt>
                <c:pt idx="22">
                  <c:v>29.16</c:v>
                </c:pt>
                <c:pt idx="23">
                  <c:v>28.71</c:v>
                </c:pt>
                <c:pt idx="24">
                  <c:v>27.77</c:v>
                </c:pt>
                <c:pt idx="25">
                  <c:v>27.28</c:v>
                </c:pt>
                <c:pt idx="26">
                  <c:v>26.77</c:v>
                </c:pt>
                <c:pt idx="27">
                  <c:v>26.25</c:v>
                </c:pt>
                <c:pt idx="28">
                  <c:v>25.7</c:v>
                </c:pt>
                <c:pt idx="29">
                  <c:v>25.12</c:v>
                </c:pt>
                <c:pt idx="30">
                  <c:v>24.48</c:v>
                </c:pt>
                <c:pt idx="31">
                  <c:v>23.77</c:v>
                </c:pt>
                <c:pt idx="32">
                  <c:v>21.97</c:v>
                </c:pt>
                <c:pt idx="33">
                  <c:v>20.78</c:v>
                </c:pt>
                <c:pt idx="34">
                  <c:v>18.440000000000001</c:v>
                </c:pt>
                <c:pt idx="35">
                  <c:v>13.85</c:v>
                </c:pt>
                <c:pt idx="36">
                  <c:v>8.81</c:v>
                </c:pt>
                <c:pt idx="37">
                  <c:v>3.99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57-4438-8112-9F07E94FFC1F}"/>
            </c:ext>
          </c:extLst>
        </c:ser>
        <c:ser>
          <c:idx val="1"/>
          <c:order val="1"/>
          <c:tx>
            <c:v>MIL</c:v>
          </c:tx>
          <c:spPr>
            <a:ln w="19050">
              <a:solidFill>
                <a:sysClr val="windowText" lastClr="000000">
                  <a:lumMod val="95000"/>
                  <a:lumOff val="5000"/>
                </a:sysClr>
              </a:solidFill>
              <a:prstDash val="sysDash"/>
            </a:ln>
          </c:spPr>
          <c:marker>
            <c:symbol val="none"/>
          </c:marker>
          <c:xVal>
            <c:numRef>
              <c:f>'[1]Propeller Geometry'!$N$57:$N$93</c:f>
              <c:numCache>
                <c:formatCode>0.00</c:formatCode>
                <c:ptCount val="37"/>
                <c:pt idx="0" formatCode="General">
                  <c:v>2.2000000000000002</c:v>
                </c:pt>
                <c:pt idx="1">
                  <c:v>2.42</c:v>
                </c:pt>
                <c:pt idx="2">
                  <c:v>2.640000000000001</c:v>
                </c:pt>
                <c:pt idx="3">
                  <c:v>2.86</c:v>
                </c:pt>
                <c:pt idx="4">
                  <c:v>3.08</c:v>
                </c:pt>
                <c:pt idx="5">
                  <c:v>3.3</c:v>
                </c:pt>
                <c:pt idx="6">
                  <c:v>3.52</c:v>
                </c:pt>
                <c:pt idx="7">
                  <c:v>3.74</c:v>
                </c:pt>
                <c:pt idx="8">
                  <c:v>3.96</c:v>
                </c:pt>
                <c:pt idx="9">
                  <c:v>4.1800000000000006</c:v>
                </c:pt>
                <c:pt idx="10">
                  <c:v>4.4000000000000004</c:v>
                </c:pt>
                <c:pt idx="11">
                  <c:v>4.62</c:v>
                </c:pt>
                <c:pt idx="12">
                  <c:v>4.8400000000000007</c:v>
                </c:pt>
                <c:pt idx="13">
                  <c:v>5.0599999999999996</c:v>
                </c:pt>
                <c:pt idx="14">
                  <c:v>5.2800000000000011</c:v>
                </c:pt>
                <c:pt idx="15">
                  <c:v>5.5</c:v>
                </c:pt>
                <c:pt idx="16">
                  <c:v>5.72</c:v>
                </c:pt>
                <c:pt idx="17">
                  <c:v>5.9400000000000013</c:v>
                </c:pt>
                <c:pt idx="18">
                  <c:v>6.16</c:v>
                </c:pt>
                <c:pt idx="19">
                  <c:v>6.38</c:v>
                </c:pt>
                <c:pt idx="20">
                  <c:v>6.6000000000000014</c:v>
                </c:pt>
                <c:pt idx="21">
                  <c:v>6.82</c:v>
                </c:pt>
                <c:pt idx="22">
                  <c:v>7.04</c:v>
                </c:pt>
                <c:pt idx="23">
                  <c:v>7.48</c:v>
                </c:pt>
                <c:pt idx="24">
                  <c:v>7.7</c:v>
                </c:pt>
                <c:pt idx="25">
                  <c:v>7.9200000000000008</c:v>
                </c:pt>
                <c:pt idx="26">
                  <c:v>8.14</c:v>
                </c:pt>
                <c:pt idx="27">
                  <c:v>8.3600000000000012</c:v>
                </c:pt>
                <c:pt idx="28">
                  <c:v>8.58</c:v>
                </c:pt>
                <c:pt idx="29">
                  <c:v>8.8000000000000007</c:v>
                </c:pt>
                <c:pt idx="30">
                  <c:v>9.0200000000000014</c:v>
                </c:pt>
                <c:pt idx="31">
                  <c:v>9.4600000000000009</c:v>
                </c:pt>
                <c:pt idx="32">
                  <c:v>9.6800000000000015</c:v>
                </c:pt>
                <c:pt idx="33">
                  <c:v>10.01</c:v>
                </c:pt>
                <c:pt idx="34">
                  <c:v>10.443888888888891</c:v>
                </c:pt>
                <c:pt idx="35">
                  <c:v>10.764111111111109</c:v>
                </c:pt>
                <c:pt idx="36">
                  <c:v>10.996333333333331</c:v>
                </c:pt>
              </c:numCache>
            </c:numRef>
          </c:xVal>
          <c:yVal>
            <c:numRef>
              <c:f>'[1]Propeller Geometry'!$Q$57:$Q$93</c:f>
              <c:numCache>
                <c:formatCode>General</c:formatCode>
                <c:ptCount val="37"/>
                <c:pt idx="0">
                  <c:v>47.25</c:v>
                </c:pt>
                <c:pt idx="1">
                  <c:v>44.91</c:v>
                </c:pt>
                <c:pt idx="2">
                  <c:v>42.82</c:v>
                </c:pt>
                <c:pt idx="3">
                  <c:v>40.97</c:v>
                </c:pt>
                <c:pt idx="4">
                  <c:v>39.32</c:v>
                </c:pt>
                <c:pt idx="5">
                  <c:v>37.840000000000003</c:v>
                </c:pt>
                <c:pt idx="6">
                  <c:v>36.520000000000003</c:v>
                </c:pt>
                <c:pt idx="7">
                  <c:v>35.340000000000003</c:v>
                </c:pt>
                <c:pt idx="8">
                  <c:v>34.28</c:v>
                </c:pt>
                <c:pt idx="9">
                  <c:v>33.33</c:v>
                </c:pt>
                <c:pt idx="10">
                  <c:v>32.46</c:v>
                </c:pt>
                <c:pt idx="11">
                  <c:v>31.67</c:v>
                </c:pt>
                <c:pt idx="12">
                  <c:v>30.95</c:v>
                </c:pt>
                <c:pt idx="13">
                  <c:v>30.29</c:v>
                </c:pt>
                <c:pt idx="14">
                  <c:v>29.69</c:v>
                </c:pt>
                <c:pt idx="15">
                  <c:v>29.12</c:v>
                </c:pt>
                <c:pt idx="16">
                  <c:v>28.6</c:v>
                </c:pt>
                <c:pt idx="17">
                  <c:v>28.11</c:v>
                </c:pt>
                <c:pt idx="18">
                  <c:v>27.65</c:v>
                </c:pt>
                <c:pt idx="19">
                  <c:v>27.23</c:v>
                </c:pt>
                <c:pt idx="20">
                  <c:v>26.82</c:v>
                </c:pt>
                <c:pt idx="21">
                  <c:v>26.44</c:v>
                </c:pt>
                <c:pt idx="22">
                  <c:v>26.07</c:v>
                </c:pt>
                <c:pt idx="23">
                  <c:v>25.4</c:v>
                </c:pt>
                <c:pt idx="24">
                  <c:v>25.08</c:v>
                </c:pt>
                <c:pt idx="25">
                  <c:v>24.79</c:v>
                </c:pt>
                <c:pt idx="26">
                  <c:v>24.5</c:v>
                </c:pt>
                <c:pt idx="27">
                  <c:v>24.22</c:v>
                </c:pt>
                <c:pt idx="28">
                  <c:v>23.96</c:v>
                </c:pt>
                <c:pt idx="29">
                  <c:v>23.71</c:v>
                </c:pt>
                <c:pt idx="30">
                  <c:v>23.46</c:v>
                </c:pt>
                <c:pt idx="31">
                  <c:v>23</c:v>
                </c:pt>
                <c:pt idx="32">
                  <c:v>22.78</c:v>
                </c:pt>
                <c:pt idx="33">
                  <c:v>22.07</c:v>
                </c:pt>
                <c:pt idx="34">
                  <c:v>21.8</c:v>
                </c:pt>
                <c:pt idx="35">
                  <c:v>21.61</c:v>
                </c:pt>
                <c:pt idx="36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57-4438-8112-9F07E94FF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354191"/>
        <c:axId val="1"/>
      </c:scatterChart>
      <c:valAx>
        <c:axId val="1571354191"/>
        <c:scaling>
          <c:orientation val="minMax"/>
          <c:max val="12"/>
          <c:min val="2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Radial</a:t>
                </a:r>
                <a:r>
                  <a:rPr lang="en-US" baseline="0"/>
                  <a:t> Span Location, r [in]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040270291766499"/>
              <c:y val="0.932350397715247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250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Blade</a:t>
                </a:r>
                <a:r>
                  <a:rPr lang="en-US" baseline="0"/>
                  <a:t> Angle, </a:t>
                </a:r>
                <a:r>
                  <a:rPr lang="el-GR" baseline="0"/>
                  <a:t>β</a:t>
                </a:r>
                <a:r>
                  <a:rPr lang="en-US" baseline="0"/>
                  <a:t> [degrees]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0119565537146052E-2"/>
              <c:y val="0.24822949170895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1354191"/>
        <c:crossesAt val="-8"/>
        <c:crossBetween val="midCat"/>
      </c:valAx>
      <c:spPr>
        <a:solidFill>
          <a:srgbClr val="FFFFFF"/>
        </a:solidFill>
        <a:ln w="12700">
          <a:solidFill>
            <a:sysClr val="windowText" lastClr="00000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55886111111111114"/>
          <c:y val="0.15277777777777779"/>
          <c:w val="0.37088266399679509"/>
          <c:h val="7.8665014736327019E-2"/>
        </c:manualLayout>
      </c:layout>
      <c:overlay val="0"/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191923</xdr:colOff>
      <xdr:row>9</xdr:row>
      <xdr:rowOff>169341</xdr:rowOff>
    </xdr:from>
    <xdr:to>
      <xdr:col>23</xdr:col>
      <xdr:colOff>465789</xdr:colOff>
      <xdr:row>13</xdr:row>
      <xdr:rowOff>59582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19A2EB-D9CF-43FD-80E9-A318E9CB6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17330" y="1822494"/>
          <a:ext cx="1552476" cy="613495"/>
        </a:xfrm>
        <a:prstGeom prst="rect">
          <a:avLst/>
        </a:prstGeom>
      </xdr:spPr>
    </xdr:pic>
    <xdr:clientData/>
  </xdr:twoCellAnchor>
  <xdr:twoCellAnchor editAs="oneCell">
    <xdr:from>
      <xdr:col>21</xdr:col>
      <xdr:colOff>187042</xdr:colOff>
      <xdr:row>14</xdr:row>
      <xdr:rowOff>25454</xdr:rowOff>
    </xdr:from>
    <xdr:to>
      <xdr:col>24</xdr:col>
      <xdr:colOff>139680</xdr:colOff>
      <xdr:row>18</xdr:row>
      <xdr:rowOff>98486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857B73-CC55-43B7-9296-E8934FB08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12449" y="2582674"/>
          <a:ext cx="1870553" cy="796287"/>
        </a:xfrm>
        <a:prstGeom prst="rect">
          <a:avLst/>
        </a:prstGeom>
      </xdr:spPr>
    </xdr:pic>
    <xdr:clientData/>
  </xdr:twoCellAnchor>
  <xdr:twoCellAnchor>
    <xdr:from>
      <xdr:col>23</xdr:col>
      <xdr:colOff>591292</xdr:colOff>
      <xdr:row>27</xdr:row>
      <xdr:rowOff>173269</xdr:rowOff>
    </xdr:from>
    <xdr:to>
      <xdr:col>31</xdr:col>
      <xdr:colOff>148819</xdr:colOff>
      <xdr:row>42</xdr:row>
      <xdr:rowOff>159822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D1C1A5-037A-4A4F-A711-394185AC9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pslo-my.sharepoint.com/personal/zbukovan_calpoly_edu/Documents/ME%20599%20THESIS/Prandtl%20Project.xlsx" TargetMode="External"/><Relationship Id="rId1" Type="http://schemas.openxmlformats.org/officeDocument/2006/relationships/externalLinkPath" Target="Prandtl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line"/>
      <sheetName val="Info"/>
      <sheetName val="Research"/>
      <sheetName val="Stock Test Stand Data"/>
      <sheetName val="MIL thrust testing"/>
      <sheetName val="Acoustic data"/>
      <sheetName val="Propeller Geometry"/>
      <sheetName val="Airfoil Geometry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N7">
            <v>2.2000000000000002</v>
          </cell>
          <cell r="Q7">
            <v>49.52</v>
          </cell>
        </row>
        <row r="8">
          <cell r="N8">
            <v>2.42</v>
          </cell>
          <cell r="Q8">
            <v>47.52</v>
          </cell>
        </row>
        <row r="9">
          <cell r="N9">
            <v>2.640000000000001</v>
          </cell>
          <cell r="Q9">
            <v>45.58</v>
          </cell>
        </row>
        <row r="10">
          <cell r="N10">
            <v>2.86</v>
          </cell>
          <cell r="Q10">
            <v>43.74</v>
          </cell>
        </row>
        <row r="11">
          <cell r="N11">
            <v>3.08</v>
          </cell>
          <cell r="Q11">
            <v>42.02</v>
          </cell>
        </row>
        <row r="12">
          <cell r="N12">
            <v>3.3</v>
          </cell>
          <cell r="Q12">
            <v>40.450000000000003</v>
          </cell>
        </row>
        <row r="13">
          <cell r="N13">
            <v>3.52</v>
          </cell>
          <cell r="Q13">
            <v>39.04</v>
          </cell>
        </row>
        <row r="14">
          <cell r="N14">
            <v>3.74</v>
          </cell>
          <cell r="Q14">
            <v>37.770000000000003</v>
          </cell>
        </row>
        <row r="15">
          <cell r="N15">
            <v>3.96</v>
          </cell>
          <cell r="Q15">
            <v>36.65</v>
          </cell>
        </row>
        <row r="16">
          <cell r="N16">
            <v>4.1800000000000006</v>
          </cell>
          <cell r="Q16">
            <v>35.67</v>
          </cell>
        </row>
        <row r="17">
          <cell r="N17">
            <v>4.4000000000000004</v>
          </cell>
          <cell r="Q17">
            <v>34.81</v>
          </cell>
        </row>
        <row r="18">
          <cell r="N18">
            <v>4.62</v>
          </cell>
          <cell r="Q18">
            <v>34.06</v>
          </cell>
        </row>
        <row r="19">
          <cell r="N19">
            <v>4.8400000000000007</v>
          </cell>
          <cell r="Q19">
            <v>33.4</v>
          </cell>
        </row>
        <row r="20">
          <cell r="N20">
            <v>5.0599999999999996</v>
          </cell>
          <cell r="Q20">
            <v>32.81</v>
          </cell>
        </row>
        <row r="21">
          <cell r="N21">
            <v>5.2800000000000011</v>
          </cell>
          <cell r="Q21">
            <v>32.28</v>
          </cell>
        </row>
        <row r="22">
          <cell r="N22">
            <v>5.5</v>
          </cell>
          <cell r="Q22">
            <v>31.8</v>
          </cell>
        </row>
        <row r="23">
          <cell r="N23">
            <v>5.72</v>
          </cell>
          <cell r="Q23">
            <v>31.34</v>
          </cell>
        </row>
        <row r="24">
          <cell r="N24">
            <v>5.9400000000000013</v>
          </cell>
          <cell r="Q24">
            <v>30.9</v>
          </cell>
        </row>
        <row r="25">
          <cell r="N25">
            <v>6.16</v>
          </cell>
          <cell r="Q25">
            <v>30.47</v>
          </cell>
        </row>
        <row r="26">
          <cell r="N26">
            <v>6.38</v>
          </cell>
          <cell r="Q26">
            <v>30.04</v>
          </cell>
        </row>
        <row r="27">
          <cell r="N27">
            <v>6.6000000000000014</v>
          </cell>
          <cell r="Q27">
            <v>29.61</v>
          </cell>
        </row>
        <row r="28">
          <cell r="N28">
            <v>6.82</v>
          </cell>
          <cell r="Q28">
            <v>29.16</v>
          </cell>
        </row>
        <row r="29">
          <cell r="N29">
            <v>6.82</v>
          </cell>
          <cell r="Q29">
            <v>29.16</v>
          </cell>
        </row>
        <row r="30">
          <cell r="N30">
            <v>7.04</v>
          </cell>
          <cell r="Q30">
            <v>28.71</v>
          </cell>
        </row>
        <row r="31">
          <cell r="N31">
            <v>7.48</v>
          </cell>
          <cell r="Q31">
            <v>27.77</v>
          </cell>
        </row>
        <row r="32">
          <cell r="N32">
            <v>7.7</v>
          </cell>
          <cell r="Q32">
            <v>27.28</v>
          </cell>
        </row>
        <row r="33">
          <cell r="N33">
            <v>7.9200000000000008</v>
          </cell>
          <cell r="Q33">
            <v>26.77</v>
          </cell>
        </row>
        <row r="34">
          <cell r="N34">
            <v>8.14</v>
          </cell>
          <cell r="Q34">
            <v>26.25</v>
          </cell>
        </row>
        <row r="35">
          <cell r="N35">
            <v>8.3600000000000012</v>
          </cell>
          <cell r="Q35">
            <v>25.7</v>
          </cell>
        </row>
        <row r="36">
          <cell r="N36">
            <v>8.58</v>
          </cell>
          <cell r="Q36">
            <v>25.12</v>
          </cell>
        </row>
        <row r="37">
          <cell r="N37">
            <v>8.8000000000000007</v>
          </cell>
          <cell r="Q37">
            <v>24.48</v>
          </cell>
        </row>
        <row r="38">
          <cell r="N38">
            <v>9.0200000000000014</v>
          </cell>
          <cell r="Q38">
            <v>23.77</v>
          </cell>
        </row>
        <row r="39">
          <cell r="N39">
            <v>9.4600000000000009</v>
          </cell>
          <cell r="Q39">
            <v>21.97</v>
          </cell>
        </row>
        <row r="40">
          <cell r="N40">
            <v>9.6800000000000015</v>
          </cell>
          <cell r="Q40">
            <v>20.78</v>
          </cell>
        </row>
        <row r="41">
          <cell r="N41">
            <v>10.01</v>
          </cell>
          <cell r="Q41">
            <v>18.440000000000001</v>
          </cell>
        </row>
        <row r="42">
          <cell r="N42">
            <v>10.43777777777778</v>
          </cell>
          <cell r="Q42">
            <v>13.85</v>
          </cell>
        </row>
        <row r="43">
          <cell r="N43">
            <v>10.767777777777781</v>
          </cell>
          <cell r="Q43">
            <v>8.81</v>
          </cell>
        </row>
        <row r="44">
          <cell r="N44">
            <v>11</v>
          </cell>
          <cell r="Q44">
            <v>3.99</v>
          </cell>
        </row>
        <row r="57">
          <cell r="N57">
            <v>2.2000000000000002</v>
          </cell>
          <cell r="Q57">
            <v>47.25</v>
          </cell>
        </row>
        <row r="58">
          <cell r="N58">
            <v>2.42</v>
          </cell>
          <cell r="Q58">
            <v>44.91</v>
          </cell>
        </row>
        <row r="59">
          <cell r="N59">
            <v>2.640000000000001</v>
          </cell>
          <cell r="Q59">
            <v>42.82</v>
          </cell>
        </row>
        <row r="60">
          <cell r="N60">
            <v>2.86</v>
          </cell>
          <cell r="Q60">
            <v>40.97</v>
          </cell>
        </row>
        <row r="61">
          <cell r="N61">
            <v>3.08</v>
          </cell>
          <cell r="Q61">
            <v>39.32</v>
          </cell>
        </row>
        <row r="62">
          <cell r="N62">
            <v>3.3</v>
          </cell>
          <cell r="Q62">
            <v>37.840000000000003</v>
          </cell>
        </row>
        <row r="63">
          <cell r="N63">
            <v>3.52</v>
          </cell>
          <cell r="Q63">
            <v>36.520000000000003</v>
          </cell>
        </row>
        <row r="64">
          <cell r="N64">
            <v>3.74</v>
          </cell>
          <cell r="Q64">
            <v>35.340000000000003</v>
          </cell>
        </row>
        <row r="65">
          <cell r="N65">
            <v>3.96</v>
          </cell>
          <cell r="Q65">
            <v>34.28</v>
          </cell>
        </row>
        <row r="66">
          <cell r="N66">
            <v>4.1800000000000006</v>
          </cell>
          <cell r="Q66">
            <v>33.33</v>
          </cell>
        </row>
        <row r="67">
          <cell r="N67">
            <v>4.4000000000000004</v>
          </cell>
          <cell r="Q67">
            <v>32.46</v>
          </cell>
        </row>
        <row r="68">
          <cell r="N68">
            <v>4.62</v>
          </cell>
          <cell r="Q68">
            <v>31.67</v>
          </cell>
        </row>
        <row r="69">
          <cell r="N69">
            <v>4.8400000000000007</v>
          </cell>
          <cell r="Q69">
            <v>30.95</v>
          </cell>
        </row>
        <row r="70">
          <cell r="N70">
            <v>5.0599999999999996</v>
          </cell>
          <cell r="Q70">
            <v>30.29</v>
          </cell>
        </row>
        <row r="71">
          <cell r="N71">
            <v>5.2800000000000011</v>
          </cell>
          <cell r="Q71">
            <v>29.69</v>
          </cell>
        </row>
        <row r="72">
          <cell r="N72">
            <v>5.5</v>
          </cell>
          <cell r="Q72">
            <v>29.12</v>
          </cell>
        </row>
        <row r="73">
          <cell r="N73">
            <v>5.72</v>
          </cell>
          <cell r="Q73">
            <v>28.6</v>
          </cell>
        </row>
        <row r="74">
          <cell r="N74">
            <v>5.9400000000000013</v>
          </cell>
          <cell r="Q74">
            <v>28.11</v>
          </cell>
        </row>
        <row r="75">
          <cell r="N75">
            <v>6.16</v>
          </cell>
          <cell r="Q75">
            <v>27.65</v>
          </cell>
        </row>
        <row r="76">
          <cell r="N76">
            <v>6.38</v>
          </cell>
          <cell r="Q76">
            <v>27.23</v>
          </cell>
        </row>
        <row r="77">
          <cell r="N77">
            <v>6.6000000000000014</v>
          </cell>
          <cell r="Q77">
            <v>26.82</v>
          </cell>
        </row>
        <row r="78">
          <cell r="N78">
            <v>6.82</v>
          </cell>
          <cell r="Q78">
            <v>26.44</v>
          </cell>
        </row>
        <row r="79">
          <cell r="N79">
            <v>7.04</v>
          </cell>
          <cell r="Q79">
            <v>26.07</v>
          </cell>
        </row>
        <row r="80">
          <cell r="N80">
            <v>7.48</v>
          </cell>
          <cell r="Q80">
            <v>25.4</v>
          </cell>
        </row>
        <row r="81">
          <cell r="N81">
            <v>7.7</v>
          </cell>
          <cell r="Q81">
            <v>25.08</v>
          </cell>
        </row>
        <row r="82">
          <cell r="N82">
            <v>7.9200000000000008</v>
          </cell>
          <cell r="Q82">
            <v>24.79</v>
          </cell>
        </row>
        <row r="83">
          <cell r="N83">
            <v>8.14</v>
          </cell>
          <cell r="Q83">
            <v>24.5</v>
          </cell>
        </row>
        <row r="84">
          <cell r="N84">
            <v>8.3600000000000012</v>
          </cell>
          <cell r="Q84">
            <v>24.22</v>
          </cell>
        </row>
        <row r="85">
          <cell r="N85">
            <v>8.58</v>
          </cell>
          <cell r="Q85">
            <v>23.96</v>
          </cell>
        </row>
        <row r="86">
          <cell r="N86">
            <v>8.8000000000000007</v>
          </cell>
          <cell r="Q86">
            <v>23.71</v>
          </cell>
        </row>
        <row r="87">
          <cell r="N87">
            <v>9.0200000000000014</v>
          </cell>
          <cell r="Q87">
            <v>23.46</v>
          </cell>
        </row>
        <row r="88">
          <cell r="N88">
            <v>9.4600000000000009</v>
          </cell>
          <cell r="Q88">
            <v>23</v>
          </cell>
        </row>
        <row r="89">
          <cell r="N89">
            <v>9.6800000000000015</v>
          </cell>
          <cell r="Q89">
            <v>22.78</v>
          </cell>
        </row>
        <row r="90">
          <cell r="N90">
            <v>10.01</v>
          </cell>
          <cell r="Q90">
            <v>22.07</v>
          </cell>
        </row>
        <row r="91">
          <cell r="N91">
            <v>10.443888888888891</v>
          </cell>
          <cell r="Q91">
            <v>21.8</v>
          </cell>
        </row>
        <row r="92">
          <cell r="N92">
            <v>10.764111111111109</v>
          </cell>
          <cell r="Q92">
            <v>21.61</v>
          </cell>
        </row>
        <row r="93">
          <cell r="N93">
            <v>10.996333333333331</v>
          </cell>
          <cell r="Q93">
            <v>21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C9B0-7A00-47CA-8E97-AF25FD29201B}">
  <dimension ref="C3:AE92"/>
  <sheetViews>
    <sheetView tabSelected="1" zoomScale="43" zoomScaleNormal="100" workbookViewId="0">
      <selection activeCell="AB11" sqref="AB11"/>
    </sheetView>
  </sheetViews>
  <sheetFormatPr defaultRowHeight="14.4" x14ac:dyDescent="0.55000000000000004"/>
  <sheetData>
    <row r="3" spans="3:31" ht="14.7" thickBot="1" x14ac:dyDescent="0.6"/>
    <row r="4" spans="3:31" ht="14.7" thickBot="1" x14ac:dyDescent="0.6">
      <c r="C4" s="1" t="s">
        <v>0</v>
      </c>
      <c r="D4" s="2"/>
      <c r="E4" s="2"/>
      <c r="F4" s="2"/>
      <c r="G4" s="2"/>
      <c r="H4" s="3"/>
      <c r="L4" s="4" t="s">
        <v>1</v>
      </c>
      <c r="M4" s="5"/>
      <c r="N4" s="5"/>
      <c r="O4" s="5"/>
      <c r="P4" s="5"/>
      <c r="Q4" s="5"/>
      <c r="R4" s="5"/>
      <c r="S4" s="6"/>
    </row>
    <row r="5" spans="3:31" ht="14.7" thickBot="1" x14ac:dyDescent="0.6">
      <c r="C5" s="7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9" t="s">
        <v>7</v>
      </c>
      <c r="L5" s="10" t="s">
        <v>2</v>
      </c>
      <c r="M5" s="11" t="s">
        <v>3</v>
      </c>
      <c r="N5" s="11" t="s">
        <v>4</v>
      </c>
      <c r="O5" s="11" t="s">
        <v>5</v>
      </c>
      <c r="P5" s="11" t="s">
        <v>6</v>
      </c>
      <c r="Q5" s="12" t="s">
        <v>7</v>
      </c>
      <c r="R5" s="11" t="s">
        <v>8</v>
      </c>
      <c r="S5" s="13" t="s">
        <v>9</v>
      </c>
      <c r="T5" s="57" t="s">
        <v>59</v>
      </c>
    </row>
    <row r="6" spans="3:31" x14ac:dyDescent="0.55000000000000004">
      <c r="C6" s="14">
        <v>0.2</v>
      </c>
      <c r="D6" s="15">
        <v>0.19309999999999999</v>
      </c>
      <c r="E6" s="15">
        <v>1.8</v>
      </c>
      <c r="F6" s="15">
        <v>1.738</v>
      </c>
      <c r="G6" s="15" t="s">
        <v>10</v>
      </c>
      <c r="H6" s="16">
        <v>49.52</v>
      </c>
      <c r="K6" t="s">
        <v>11</v>
      </c>
      <c r="L6" s="17">
        <v>0.2</v>
      </c>
      <c r="M6" s="18">
        <v>0.19309999999999999</v>
      </c>
      <c r="N6" s="19">
        <v>2.2000000000000002</v>
      </c>
      <c r="O6" s="20">
        <v>2.124222222222222</v>
      </c>
      <c r="P6" s="21" t="s">
        <v>10</v>
      </c>
      <c r="Q6" s="22">
        <v>49.52</v>
      </c>
      <c r="R6" s="20">
        <f>ATAN($V$8/($X$8*N6*0.0254))*180/PI()</f>
        <v>27.436614092593295</v>
      </c>
      <c r="S6" s="23">
        <f>Q6-R6</f>
        <v>22.083385907406708</v>
      </c>
      <c r="T6" s="61">
        <f>R6+S6</f>
        <v>49.52</v>
      </c>
      <c r="V6" s="58" t="s">
        <v>60</v>
      </c>
      <c r="W6" s="59" t="s">
        <v>61</v>
      </c>
      <c r="X6" s="60" t="s">
        <v>62</v>
      </c>
    </row>
    <row r="7" spans="3:31" ht="14.7" thickBot="1" x14ac:dyDescent="0.6">
      <c r="C7" s="14">
        <v>0.22</v>
      </c>
      <c r="D7" s="15">
        <v>0.1958</v>
      </c>
      <c r="E7" s="15">
        <v>1.98</v>
      </c>
      <c r="F7" s="15">
        <v>1.762</v>
      </c>
      <c r="G7" s="15" t="s">
        <v>10</v>
      </c>
      <c r="H7" s="16">
        <v>47.52</v>
      </c>
      <c r="K7" t="s">
        <v>12</v>
      </c>
      <c r="L7" s="24">
        <v>0.22</v>
      </c>
      <c r="M7" s="25">
        <v>0.1958</v>
      </c>
      <c r="N7" s="19">
        <v>2.42</v>
      </c>
      <c r="O7" s="26">
        <v>2.1535555555555561</v>
      </c>
      <c r="P7" s="27" t="s">
        <v>10</v>
      </c>
      <c r="Q7" s="22">
        <v>47.52</v>
      </c>
      <c r="R7" s="26">
        <f>ATAN($V$8/($X$8*N7*0.0254))*180/PI()</f>
        <v>25.265682082439163</v>
      </c>
      <c r="S7" s="28">
        <f t="shared" ref="S7:S43" si="0">Q7-R7</f>
        <v>22.25431791756084</v>
      </c>
      <c r="T7" s="61">
        <f t="shared" ref="T7:T43" si="1">R7+S7</f>
        <v>47.52</v>
      </c>
      <c r="V7" s="62">
        <v>9.1440000000000001</v>
      </c>
      <c r="W7" s="63">
        <v>3000</v>
      </c>
      <c r="X7" s="64">
        <f>2*PI()*W7/60</f>
        <v>314.15926535897933</v>
      </c>
    </row>
    <row r="8" spans="3:31" x14ac:dyDescent="0.55000000000000004">
      <c r="C8" s="14">
        <v>0.24</v>
      </c>
      <c r="D8" s="15">
        <v>0.19850000000000001</v>
      </c>
      <c r="E8" s="15">
        <v>2.16</v>
      </c>
      <c r="F8" s="15">
        <v>1.7869999999999999</v>
      </c>
      <c r="G8" s="15" t="s">
        <v>10</v>
      </c>
      <c r="H8" s="16">
        <v>45.58</v>
      </c>
      <c r="K8" t="s">
        <v>13</v>
      </c>
      <c r="L8" s="24">
        <v>0.24</v>
      </c>
      <c r="M8" s="25">
        <v>0.19850000000000001</v>
      </c>
      <c r="N8" s="19">
        <v>2.640000000000001</v>
      </c>
      <c r="O8" s="26">
        <v>2.1841111111111111</v>
      </c>
      <c r="P8" s="27" t="s">
        <v>10</v>
      </c>
      <c r="Q8" s="22">
        <v>45.58</v>
      </c>
      <c r="R8" s="26">
        <f>ATAN($V$8/($X$8*N8*0.0254))*180/PI()</f>
        <v>23.394989005181422</v>
      </c>
      <c r="S8" s="28">
        <f t="shared" si="0"/>
        <v>22.185010994818576</v>
      </c>
      <c r="T8" s="61">
        <f t="shared" si="1"/>
        <v>45.58</v>
      </c>
      <c r="V8">
        <v>9.1140000000000008</v>
      </c>
      <c r="X8">
        <v>314.15929999999997</v>
      </c>
    </row>
    <row r="9" spans="3:31" x14ac:dyDescent="0.55000000000000004">
      <c r="C9" s="14">
        <v>0.26</v>
      </c>
      <c r="D9" s="15">
        <v>0.20080000000000001</v>
      </c>
      <c r="E9" s="15">
        <v>2.34</v>
      </c>
      <c r="F9" s="15">
        <v>1.8069999999999999</v>
      </c>
      <c r="G9" s="15" t="s">
        <v>10</v>
      </c>
      <c r="H9" s="16">
        <v>43.74</v>
      </c>
      <c r="K9" t="s">
        <v>14</v>
      </c>
      <c r="L9" s="24">
        <v>0.26</v>
      </c>
      <c r="M9" s="25">
        <v>0.20080000000000001</v>
      </c>
      <c r="N9" s="19">
        <v>2.86</v>
      </c>
      <c r="O9" s="26">
        <v>2.2085555555555558</v>
      </c>
      <c r="P9" s="27" t="s">
        <v>10</v>
      </c>
      <c r="Q9" s="22">
        <v>43.74</v>
      </c>
      <c r="R9" s="26">
        <f>ATAN($V$8/($X$8*N9*0.0254))*180/PI()</f>
        <v>21.769554318099644</v>
      </c>
      <c r="S9" s="28">
        <f t="shared" si="0"/>
        <v>21.970445681900358</v>
      </c>
      <c r="T9" s="61">
        <f t="shared" si="1"/>
        <v>43.74</v>
      </c>
    </row>
    <row r="10" spans="3:31" x14ac:dyDescent="0.55000000000000004">
      <c r="C10" s="14">
        <v>0.28000000000000003</v>
      </c>
      <c r="D10" s="15">
        <v>0.2024</v>
      </c>
      <c r="E10" s="15">
        <v>2.52</v>
      </c>
      <c r="F10" s="15">
        <v>1.8220000000000001</v>
      </c>
      <c r="G10" s="15" t="s">
        <v>10</v>
      </c>
      <c r="H10" s="16">
        <v>42.02</v>
      </c>
      <c r="K10" t="s">
        <v>15</v>
      </c>
      <c r="L10" s="24">
        <v>0.28000000000000003</v>
      </c>
      <c r="M10" s="25">
        <v>0.2024</v>
      </c>
      <c r="N10" s="19">
        <v>3.08</v>
      </c>
      <c r="O10" s="26">
        <v>2.2268888888888889</v>
      </c>
      <c r="P10" s="27" t="s">
        <v>10</v>
      </c>
      <c r="Q10" s="22">
        <v>42.02</v>
      </c>
      <c r="R10" s="26">
        <f>ATAN($V$8/($X$8*N10*0.0254))*180/PI()</f>
        <v>20.346283303216712</v>
      </c>
      <c r="S10" s="28">
        <f t="shared" si="0"/>
        <v>21.673716696783291</v>
      </c>
      <c r="T10" s="61">
        <f t="shared" si="1"/>
        <v>42.02</v>
      </c>
    </row>
    <row r="11" spans="3:31" x14ac:dyDescent="0.55000000000000004">
      <c r="C11" s="14">
        <v>0.3</v>
      </c>
      <c r="D11" s="15">
        <v>0.2031</v>
      </c>
      <c r="E11" s="15">
        <v>2.7</v>
      </c>
      <c r="F11" s="15">
        <v>1.8280000000000001</v>
      </c>
      <c r="G11" s="15" t="s">
        <v>10</v>
      </c>
      <c r="H11" s="16">
        <v>40.450000000000003</v>
      </c>
      <c r="K11" t="s">
        <v>16</v>
      </c>
      <c r="L11" s="24">
        <v>0.3</v>
      </c>
      <c r="M11" s="25">
        <v>0.2031</v>
      </c>
      <c r="N11" s="19">
        <v>3.3</v>
      </c>
      <c r="O11" s="26">
        <v>2.2342222222222219</v>
      </c>
      <c r="P11" s="27" t="s">
        <v>10</v>
      </c>
      <c r="Q11" s="22">
        <v>40.450000000000003</v>
      </c>
      <c r="R11" s="26">
        <f>ATAN($V$8/($X$8*N11*0.0254))*180/PI()</f>
        <v>19.091138474142916</v>
      </c>
      <c r="S11" s="28">
        <f t="shared" si="0"/>
        <v>21.358861525857087</v>
      </c>
      <c r="T11" s="61">
        <f t="shared" si="1"/>
        <v>40.450000000000003</v>
      </c>
      <c r="AD11" t="s">
        <v>63</v>
      </c>
      <c r="AE11" t="s">
        <v>2</v>
      </c>
    </row>
    <row r="12" spans="3:31" x14ac:dyDescent="0.55000000000000004">
      <c r="C12" s="14">
        <v>0.32</v>
      </c>
      <c r="D12" s="15">
        <v>0.2029</v>
      </c>
      <c r="E12" s="15">
        <v>2.88</v>
      </c>
      <c r="F12" s="15">
        <v>1.8260000000000001</v>
      </c>
      <c r="G12" s="15" t="s">
        <v>10</v>
      </c>
      <c r="H12" s="16">
        <v>39.04</v>
      </c>
      <c r="K12" t="s">
        <v>17</v>
      </c>
      <c r="L12" s="24">
        <v>0.32</v>
      </c>
      <c r="M12" s="25">
        <v>0.2029</v>
      </c>
      <c r="N12" s="19">
        <v>3.52</v>
      </c>
      <c r="O12" s="26">
        <v>2.2317777777777779</v>
      </c>
      <c r="P12" s="27" t="s">
        <v>10</v>
      </c>
      <c r="Q12" s="22">
        <v>39.04</v>
      </c>
      <c r="R12" s="26">
        <f>ATAN($V$8/($X$8*N12*0.0254))*180/PI()</f>
        <v>17.97700823590057</v>
      </c>
      <c r="S12" s="28">
        <f t="shared" si="0"/>
        <v>21.062991764099429</v>
      </c>
      <c r="T12" s="61">
        <f t="shared" si="1"/>
        <v>39.04</v>
      </c>
      <c r="AD12">
        <v>0</v>
      </c>
      <c r="AE12">
        <v>0.21474588403722264</v>
      </c>
    </row>
    <row r="13" spans="3:31" x14ac:dyDescent="0.55000000000000004">
      <c r="C13" s="14">
        <v>0.34</v>
      </c>
      <c r="D13" s="15">
        <v>0.2024</v>
      </c>
      <c r="E13" s="15">
        <v>3.06</v>
      </c>
      <c r="F13" s="15">
        <v>1.821</v>
      </c>
      <c r="G13" s="15" t="s">
        <v>10</v>
      </c>
      <c r="H13" s="16">
        <v>37.770000000000003</v>
      </c>
      <c r="K13" t="s">
        <v>18</v>
      </c>
      <c r="L13" s="24">
        <v>0.34</v>
      </c>
      <c r="M13" s="25">
        <v>0.2024</v>
      </c>
      <c r="N13" s="19">
        <v>3.74</v>
      </c>
      <c r="O13" s="26">
        <v>2.2256666666666671</v>
      </c>
      <c r="P13" s="27" t="s">
        <v>10</v>
      </c>
      <c r="Q13" s="22">
        <v>37.770000000000003</v>
      </c>
      <c r="R13" s="26">
        <f>ATAN($V$8/($X$8*N13*0.0254))*180/PI()</f>
        <v>16.982109397832289</v>
      </c>
      <c r="S13" s="28">
        <f t="shared" si="0"/>
        <v>20.787890602167714</v>
      </c>
      <c r="T13" s="61">
        <f t="shared" si="1"/>
        <v>37.770000000000003</v>
      </c>
      <c r="AD13">
        <v>1</v>
      </c>
      <c r="AE13">
        <v>0.29327129563350035</v>
      </c>
    </row>
    <row r="14" spans="3:31" x14ac:dyDescent="0.55000000000000004">
      <c r="C14" s="14">
        <v>0.36</v>
      </c>
      <c r="D14" s="15">
        <v>0.2014</v>
      </c>
      <c r="E14" s="15">
        <v>3.24</v>
      </c>
      <c r="F14" s="15">
        <v>1.8129999999999999</v>
      </c>
      <c r="G14" s="15" t="s">
        <v>10</v>
      </c>
      <c r="H14" s="16">
        <v>36.65</v>
      </c>
      <c r="K14" t="s">
        <v>19</v>
      </c>
      <c r="L14" s="24">
        <v>0.36</v>
      </c>
      <c r="M14" s="25">
        <v>0.2014</v>
      </c>
      <c r="N14" s="19">
        <v>3.96</v>
      </c>
      <c r="O14" s="26">
        <v>2.2158888888888888</v>
      </c>
      <c r="P14" s="27" t="s">
        <v>10</v>
      </c>
      <c r="Q14" s="22">
        <v>36.65</v>
      </c>
      <c r="R14" s="26">
        <f>ATAN($V$8/($X$8*N14*0.0254))*180/PI()</f>
        <v>16.088788794173901</v>
      </c>
      <c r="S14" s="28">
        <f t="shared" si="0"/>
        <v>20.561211205826098</v>
      </c>
      <c r="T14" s="61">
        <f t="shared" si="1"/>
        <v>36.65</v>
      </c>
      <c r="AD14">
        <v>2</v>
      </c>
      <c r="AE14">
        <v>0.37179670722977815</v>
      </c>
    </row>
    <row r="15" spans="3:31" x14ac:dyDescent="0.55000000000000004">
      <c r="C15" s="14">
        <v>0.38</v>
      </c>
      <c r="D15" s="15">
        <v>0.2</v>
      </c>
      <c r="E15" s="15">
        <v>3.42</v>
      </c>
      <c r="F15" s="15">
        <v>1.8</v>
      </c>
      <c r="G15" s="15" t="s">
        <v>10</v>
      </c>
      <c r="H15" s="16">
        <v>35.67</v>
      </c>
      <c r="K15" t="s">
        <v>20</v>
      </c>
      <c r="L15" s="24">
        <v>0.38</v>
      </c>
      <c r="M15" s="25">
        <v>0.2</v>
      </c>
      <c r="N15" s="19">
        <v>4.1800000000000006</v>
      </c>
      <c r="O15" s="26">
        <v>2.2000000000000002</v>
      </c>
      <c r="P15" s="27" t="s">
        <v>10</v>
      </c>
      <c r="Q15" s="22">
        <v>35.67</v>
      </c>
      <c r="R15" s="26">
        <f>ATAN($V$8/($X$8*N15*0.0254))*180/PI()</f>
        <v>15.2826204218405</v>
      </c>
      <c r="S15" s="28">
        <f t="shared" si="0"/>
        <v>20.387379578159504</v>
      </c>
      <c r="T15" s="61">
        <f t="shared" si="1"/>
        <v>35.67</v>
      </c>
      <c r="AD15">
        <v>3</v>
      </c>
      <c r="AE15">
        <v>0.45032211882605583</v>
      </c>
    </row>
    <row r="16" spans="3:31" x14ac:dyDescent="0.55000000000000004">
      <c r="C16" s="14">
        <v>0.4</v>
      </c>
      <c r="D16" s="15">
        <v>0.1981</v>
      </c>
      <c r="E16" s="15">
        <v>3.6</v>
      </c>
      <c r="F16" s="15">
        <v>1.7829999999999999</v>
      </c>
      <c r="G16" s="15" t="s">
        <v>10</v>
      </c>
      <c r="H16" s="16">
        <v>34.81</v>
      </c>
      <c r="K16" t="s">
        <v>21</v>
      </c>
      <c r="L16" s="17">
        <v>0.4</v>
      </c>
      <c r="M16" s="18">
        <v>0.1981</v>
      </c>
      <c r="N16" s="19">
        <v>4.4000000000000004</v>
      </c>
      <c r="O16" s="20">
        <v>2.1792222222222222</v>
      </c>
      <c r="P16" s="21" t="s">
        <v>10</v>
      </c>
      <c r="Q16" s="22">
        <v>34.81</v>
      </c>
      <c r="R16" s="20">
        <f>ATAN($V$8/($X$8*N16*0.0254))*180/PI()</f>
        <v>14.5517209666585</v>
      </c>
      <c r="S16" s="23">
        <f t="shared" si="0"/>
        <v>20.258279033341502</v>
      </c>
      <c r="T16" s="61">
        <f t="shared" si="1"/>
        <v>34.81</v>
      </c>
      <c r="AD16">
        <v>4</v>
      </c>
      <c r="AE16">
        <v>0.52884753042233357</v>
      </c>
    </row>
    <row r="17" spans="3:31" x14ac:dyDescent="0.55000000000000004">
      <c r="C17" s="14">
        <v>0.42</v>
      </c>
      <c r="D17" s="15">
        <v>0.19589999999999999</v>
      </c>
      <c r="E17" s="15">
        <v>3.78</v>
      </c>
      <c r="F17" s="15">
        <v>1.7629999999999999</v>
      </c>
      <c r="G17" s="15" t="s">
        <v>10</v>
      </c>
      <c r="H17" s="16">
        <v>34.06</v>
      </c>
      <c r="K17" t="s">
        <v>22</v>
      </c>
      <c r="L17" s="24">
        <v>0.42</v>
      </c>
      <c r="M17" s="25">
        <v>0.19589999999999999</v>
      </c>
      <c r="N17" s="19">
        <v>4.62</v>
      </c>
      <c r="O17" s="26">
        <v>2.1547777777777779</v>
      </c>
      <c r="P17" s="27" t="s">
        <v>10</v>
      </c>
      <c r="Q17" s="22">
        <v>34.06</v>
      </c>
      <c r="R17" s="26">
        <f>ATAN($V$8/($X$8*N17*0.0254))*180/PI()</f>
        <v>13.886227105564872</v>
      </c>
      <c r="S17" s="28">
        <f t="shared" si="0"/>
        <v>20.173772894435132</v>
      </c>
      <c r="T17" s="61">
        <f t="shared" si="1"/>
        <v>34.06</v>
      </c>
      <c r="AD17">
        <v>5</v>
      </c>
      <c r="AE17">
        <v>0.60737294201861136</v>
      </c>
    </row>
    <row r="18" spans="3:31" x14ac:dyDescent="0.55000000000000004">
      <c r="C18" s="14">
        <v>0.44</v>
      </c>
      <c r="D18" s="15">
        <v>0.19350000000000001</v>
      </c>
      <c r="E18" s="15">
        <v>3.96</v>
      </c>
      <c r="F18" s="15">
        <v>1.7410000000000001</v>
      </c>
      <c r="G18" s="15" t="s">
        <v>10</v>
      </c>
      <c r="H18" s="16">
        <v>33.4</v>
      </c>
      <c r="K18" t="s">
        <v>23</v>
      </c>
      <c r="L18" s="24">
        <v>0.44</v>
      </c>
      <c r="M18" s="25">
        <v>0.19350000000000001</v>
      </c>
      <c r="N18" s="19">
        <v>4.8400000000000007</v>
      </c>
      <c r="O18" s="26">
        <v>2.1278888888888892</v>
      </c>
      <c r="P18" s="27" t="s">
        <v>10</v>
      </c>
      <c r="Q18" s="22">
        <v>33.4</v>
      </c>
      <c r="R18" s="26">
        <f>ATAN($V$8/($X$8*N18*0.0254))*180/PI()</f>
        <v>13.277893235250902</v>
      </c>
      <c r="S18" s="28">
        <f t="shared" si="0"/>
        <v>20.122106764749098</v>
      </c>
      <c r="T18" s="61">
        <f t="shared" si="1"/>
        <v>33.4</v>
      </c>
      <c r="AD18">
        <v>6</v>
      </c>
      <c r="AE18">
        <v>0.68589835361488916</v>
      </c>
    </row>
    <row r="19" spans="3:31" x14ac:dyDescent="0.55000000000000004">
      <c r="C19" s="14">
        <v>0.46</v>
      </c>
      <c r="D19" s="15">
        <v>0.1908</v>
      </c>
      <c r="E19" s="15">
        <v>4.1399999999999997</v>
      </c>
      <c r="F19" s="15">
        <v>1.7170000000000001</v>
      </c>
      <c r="G19" s="15" t="s">
        <v>10</v>
      </c>
      <c r="H19" s="16">
        <v>32.81</v>
      </c>
      <c r="K19" t="s">
        <v>24</v>
      </c>
      <c r="L19" s="24">
        <v>0.46</v>
      </c>
      <c r="M19" s="25">
        <v>0.1908</v>
      </c>
      <c r="N19" s="19">
        <v>5.0599999999999996</v>
      </c>
      <c r="O19" s="26">
        <v>2.098555555555556</v>
      </c>
      <c r="P19" s="27" t="s">
        <v>10</v>
      </c>
      <c r="Q19" s="22">
        <v>32.81</v>
      </c>
      <c r="R19" s="26">
        <f>ATAN($V$8/($X$8*N19*0.0254))*180/PI()</f>
        <v>12.719779414857333</v>
      </c>
      <c r="S19" s="28">
        <f t="shared" si="0"/>
        <v>20.090220585142667</v>
      </c>
      <c r="T19" s="61">
        <f t="shared" si="1"/>
        <v>32.81</v>
      </c>
      <c r="AD19">
        <v>7</v>
      </c>
      <c r="AE19">
        <v>0.76442376521116706</v>
      </c>
    </row>
    <row r="20" spans="3:31" x14ac:dyDescent="0.55000000000000004">
      <c r="C20" s="14">
        <v>0.48</v>
      </c>
      <c r="D20" s="15">
        <v>0.18790000000000001</v>
      </c>
      <c r="E20" s="15">
        <v>4.32</v>
      </c>
      <c r="F20" s="15">
        <v>1.6910000000000001</v>
      </c>
      <c r="G20" s="15" t="s">
        <v>10</v>
      </c>
      <c r="H20" s="16">
        <v>32.28</v>
      </c>
      <c r="K20" t="s">
        <v>25</v>
      </c>
      <c r="L20" s="24">
        <v>0.48</v>
      </c>
      <c r="M20" s="25">
        <v>0.18790000000000001</v>
      </c>
      <c r="N20" s="19">
        <v>5.2800000000000011</v>
      </c>
      <c r="O20" s="26">
        <v>2.0667777777777778</v>
      </c>
      <c r="P20" s="27" t="s">
        <v>10</v>
      </c>
      <c r="Q20" s="22">
        <v>32.28</v>
      </c>
      <c r="R20" s="26">
        <f>ATAN($V$8/($X$8*N20*0.0254))*180/PI()</f>
        <v>12.206007371498142</v>
      </c>
      <c r="S20" s="28">
        <f t="shared" si="0"/>
        <v>20.073992628501859</v>
      </c>
      <c r="T20" s="61">
        <f t="shared" si="1"/>
        <v>32.28</v>
      </c>
      <c r="AD20">
        <v>8</v>
      </c>
      <c r="AE20">
        <v>0.84294917680744486</v>
      </c>
    </row>
    <row r="21" spans="3:31" x14ac:dyDescent="0.55000000000000004">
      <c r="C21" s="14">
        <v>0.5</v>
      </c>
      <c r="D21" s="15">
        <v>0.18490000000000001</v>
      </c>
      <c r="E21" s="15">
        <v>4.5</v>
      </c>
      <c r="F21" s="15">
        <v>1.6639999999999999</v>
      </c>
      <c r="G21" s="15" t="s">
        <v>10</v>
      </c>
      <c r="H21" s="16">
        <v>31.8</v>
      </c>
      <c r="K21" t="s">
        <v>26</v>
      </c>
      <c r="L21" s="24">
        <v>0.5</v>
      </c>
      <c r="M21" s="25">
        <v>0.18490000000000001</v>
      </c>
      <c r="N21" s="19">
        <v>5.5</v>
      </c>
      <c r="O21" s="26">
        <v>2.0337777777777779</v>
      </c>
      <c r="P21" s="27" t="s">
        <v>10</v>
      </c>
      <c r="Q21" s="22">
        <v>31.8</v>
      </c>
      <c r="R21" s="26">
        <f>ATAN($V$8/($X$8*N21*0.0254))*180/PI()</f>
        <v>11.731568241811555</v>
      </c>
      <c r="S21" s="28">
        <f t="shared" si="0"/>
        <v>20.068431758188446</v>
      </c>
      <c r="T21" s="61">
        <f t="shared" si="1"/>
        <v>31.8</v>
      </c>
      <c r="AD21">
        <v>9</v>
      </c>
      <c r="AE21">
        <v>0.92147458840372265</v>
      </c>
    </row>
    <row r="22" spans="3:31" x14ac:dyDescent="0.55000000000000004">
      <c r="C22" s="14">
        <v>0.52</v>
      </c>
      <c r="D22" s="15">
        <v>0.18190000000000001</v>
      </c>
      <c r="E22" s="15">
        <v>4.68</v>
      </c>
      <c r="F22" s="15">
        <v>1.637</v>
      </c>
      <c r="G22" s="15" t="s">
        <v>10</v>
      </c>
      <c r="H22" s="16">
        <v>31.34</v>
      </c>
      <c r="K22" t="s">
        <v>27</v>
      </c>
      <c r="L22" s="24">
        <v>0.52</v>
      </c>
      <c r="M22" s="25">
        <v>0.18190000000000001</v>
      </c>
      <c r="N22" s="19">
        <v>5.72</v>
      </c>
      <c r="O22" s="26">
        <v>2.000777777777778</v>
      </c>
      <c r="P22" s="27" t="s">
        <v>10</v>
      </c>
      <c r="Q22" s="22">
        <v>31.34</v>
      </c>
      <c r="R22" s="26">
        <f>ATAN($V$8/($X$8*N22*0.0254))*180/PI()</f>
        <v>11.292169939187064</v>
      </c>
      <c r="S22" s="28">
        <f t="shared" si="0"/>
        <v>20.047830060812935</v>
      </c>
      <c r="T22" s="61">
        <f t="shared" si="1"/>
        <v>31.339999999999996</v>
      </c>
      <c r="AD22">
        <v>10</v>
      </c>
      <c r="AE22">
        <v>1.0000000000000004</v>
      </c>
    </row>
    <row r="23" spans="3:31" x14ac:dyDescent="0.55000000000000004">
      <c r="C23" s="14">
        <v>0.54</v>
      </c>
      <c r="D23" s="15">
        <v>0.17879999999999999</v>
      </c>
      <c r="E23" s="15">
        <v>4.8600000000000003</v>
      </c>
      <c r="F23" s="15">
        <v>1.609</v>
      </c>
      <c r="G23" s="15" t="s">
        <v>10</v>
      </c>
      <c r="H23" s="16">
        <v>30.9</v>
      </c>
      <c r="K23" t="s">
        <v>28</v>
      </c>
      <c r="L23" s="24">
        <v>0.54</v>
      </c>
      <c r="M23" s="25">
        <v>0.17879999999999999</v>
      </c>
      <c r="N23" s="19">
        <v>5.9400000000000013</v>
      </c>
      <c r="O23" s="26">
        <v>1.9665555555555561</v>
      </c>
      <c r="P23" s="27" t="s">
        <v>10</v>
      </c>
      <c r="Q23" s="22">
        <v>30.9</v>
      </c>
      <c r="R23" s="26">
        <f>ATAN($V$8/($X$8*N23*0.0254))*180/PI()</f>
        <v>10.884115101454659</v>
      </c>
      <c r="S23" s="28">
        <f t="shared" si="0"/>
        <v>20.015884898545337</v>
      </c>
      <c r="T23" s="61">
        <f t="shared" si="1"/>
        <v>30.9</v>
      </c>
    </row>
    <row r="24" spans="3:31" x14ac:dyDescent="0.55000000000000004">
      <c r="C24" s="14">
        <v>0.56000000000000005</v>
      </c>
      <c r="D24" s="15">
        <v>0.17560000000000001</v>
      </c>
      <c r="E24" s="15">
        <v>5.04</v>
      </c>
      <c r="F24" s="15">
        <v>1.58</v>
      </c>
      <c r="G24" s="15" t="s">
        <v>10</v>
      </c>
      <c r="H24" s="16">
        <v>30.47</v>
      </c>
      <c r="K24" t="s">
        <v>29</v>
      </c>
      <c r="L24" s="24">
        <v>0.56000000000000005</v>
      </c>
      <c r="M24" s="25">
        <v>0.17560000000000001</v>
      </c>
      <c r="N24" s="19">
        <v>6.16</v>
      </c>
      <c r="O24" s="26">
        <v>1.931111111111111</v>
      </c>
      <c r="P24" s="27" t="s">
        <v>10</v>
      </c>
      <c r="Q24" s="22">
        <v>30.47</v>
      </c>
      <c r="R24" s="26">
        <f>ATAN($V$8/($X$8*N24*0.0254))*180/PI()</f>
        <v>10.504202814326534</v>
      </c>
      <c r="S24" s="28">
        <f t="shared" si="0"/>
        <v>19.965797185673466</v>
      </c>
      <c r="T24" s="61">
        <f t="shared" si="1"/>
        <v>30.47</v>
      </c>
    </row>
    <row r="25" spans="3:31" x14ac:dyDescent="0.55000000000000004">
      <c r="C25" s="14">
        <v>0.57999999999999996</v>
      </c>
      <c r="D25" s="15">
        <v>0.17230000000000001</v>
      </c>
      <c r="E25" s="15">
        <v>5.22</v>
      </c>
      <c r="F25" s="15">
        <v>1.5509999999999999</v>
      </c>
      <c r="G25" s="15" t="s">
        <v>10</v>
      </c>
      <c r="H25" s="16">
        <v>30.04</v>
      </c>
      <c r="K25" t="s">
        <v>30</v>
      </c>
      <c r="L25" s="24">
        <v>0.57999999999999996</v>
      </c>
      <c r="M25" s="25">
        <v>0.17230000000000001</v>
      </c>
      <c r="N25" s="19">
        <v>6.38</v>
      </c>
      <c r="O25" s="26">
        <v>1.8956666666666671</v>
      </c>
      <c r="P25" s="27" t="s">
        <v>10</v>
      </c>
      <c r="Q25" s="22">
        <v>30.04</v>
      </c>
      <c r="R25" s="26">
        <f>ATAN($V$8/($X$8*N25*0.0254))*180/PI()</f>
        <v>10.149648953964114</v>
      </c>
      <c r="S25" s="28">
        <f t="shared" si="0"/>
        <v>19.890351046035885</v>
      </c>
      <c r="T25" s="61">
        <f t="shared" si="1"/>
        <v>30.04</v>
      </c>
    </row>
    <row r="26" spans="3:31" x14ac:dyDescent="0.55000000000000004">
      <c r="C26" s="14">
        <v>0.6</v>
      </c>
      <c r="D26" s="15">
        <v>0.16900000000000001</v>
      </c>
      <c r="E26" s="15">
        <v>5.4</v>
      </c>
      <c r="F26" s="15">
        <v>1.5209999999999999</v>
      </c>
      <c r="G26" s="15" t="s">
        <v>10</v>
      </c>
      <c r="H26" s="16">
        <v>29.61</v>
      </c>
      <c r="K26" t="s">
        <v>31</v>
      </c>
      <c r="L26" s="17">
        <v>0.6</v>
      </c>
      <c r="M26" s="18">
        <v>0.16900000000000001</v>
      </c>
      <c r="N26" s="19">
        <v>6.6000000000000014</v>
      </c>
      <c r="O26" s="20">
        <v>1.859</v>
      </c>
      <c r="P26" s="21" t="s">
        <v>10</v>
      </c>
      <c r="Q26" s="22">
        <v>29.61</v>
      </c>
      <c r="R26" s="20">
        <f>ATAN($V$8/($X$8*N26*0.0254))*180/PI()</f>
        <v>9.8180212125493309</v>
      </c>
      <c r="S26" s="23">
        <f t="shared" si="0"/>
        <v>19.791978787450667</v>
      </c>
      <c r="T26" s="61">
        <f t="shared" si="1"/>
        <v>29.61</v>
      </c>
    </row>
    <row r="27" spans="3:31" x14ac:dyDescent="0.55000000000000004">
      <c r="C27" s="14">
        <v>0.62</v>
      </c>
      <c r="D27" s="15">
        <v>0.1656</v>
      </c>
      <c r="E27" s="15">
        <v>5.58</v>
      </c>
      <c r="F27" s="15">
        <v>1.49</v>
      </c>
      <c r="G27" s="15" t="s">
        <v>10</v>
      </c>
      <c r="H27" s="16">
        <v>29.16</v>
      </c>
      <c r="K27" t="s">
        <v>32</v>
      </c>
      <c r="L27" s="24">
        <v>0.62</v>
      </c>
      <c r="M27" s="25">
        <v>0.1656</v>
      </c>
      <c r="N27" s="19">
        <v>6.82</v>
      </c>
      <c r="O27" s="26">
        <v>1.8211111111111109</v>
      </c>
      <c r="P27" s="27" t="s">
        <v>10</v>
      </c>
      <c r="Q27" s="22">
        <v>29.16</v>
      </c>
      <c r="R27" s="26">
        <f>ATAN($V$8/($X$8*N27*0.0254))*180/PI()</f>
        <v>9.5071857808997713</v>
      </c>
      <c r="S27" s="28">
        <f t="shared" si="0"/>
        <v>19.652814219100229</v>
      </c>
      <c r="T27" s="61">
        <f t="shared" si="1"/>
        <v>29.16</v>
      </c>
    </row>
    <row r="28" spans="3:31" x14ac:dyDescent="0.55000000000000004">
      <c r="C28" s="14">
        <v>0.62</v>
      </c>
      <c r="D28" s="15">
        <v>0.1656</v>
      </c>
      <c r="E28" s="15">
        <v>5.58</v>
      </c>
      <c r="F28" s="15">
        <v>1.49</v>
      </c>
      <c r="G28" s="15" t="s">
        <v>10</v>
      </c>
      <c r="H28" s="16">
        <v>29.16</v>
      </c>
      <c r="K28" t="s">
        <v>33</v>
      </c>
      <c r="L28" s="24">
        <v>0.62</v>
      </c>
      <c r="M28" s="25">
        <v>0.1656</v>
      </c>
      <c r="N28" s="19">
        <v>6.82</v>
      </c>
      <c r="O28" s="26">
        <v>1.8211111111111109</v>
      </c>
      <c r="P28" s="27" t="s">
        <v>10</v>
      </c>
      <c r="Q28" s="22">
        <v>29.16</v>
      </c>
      <c r="R28" s="26">
        <f>ATAN($V$8/($X$8*N28*0.0254))*180/PI()</f>
        <v>9.5071857808997713</v>
      </c>
      <c r="S28" s="28">
        <f t="shared" si="0"/>
        <v>19.652814219100229</v>
      </c>
      <c r="T28" s="61">
        <f t="shared" si="1"/>
        <v>29.16</v>
      </c>
    </row>
    <row r="29" spans="3:31" x14ac:dyDescent="0.55000000000000004">
      <c r="C29" s="14">
        <v>0.64</v>
      </c>
      <c r="D29" s="15">
        <v>0.16220000000000001</v>
      </c>
      <c r="E29" s="15">
        <v>5.76</v>
      </c>
      <c r="F29" s="15">
        <v>1.46</v>
      </c>
      <c r="G29" s="15" t="s">
        <v>10</v>
      </c>
      <c r="H29" s="16">
        <v>28.71</v>
      </c>
      <c r="K29" t="s">
        <v>34</v>
      </c>
      <c r="L29" s="24">
        <v>0.64</v>
      </c>
      <c r="M29" s="25">
        <v>0.16220000000000001</v>
      </c>
      <c r="N29" s="19">
        <v>7.04</v>
      </c>
      <c r="O29" s="26">
        <v>1.7844444444444441</v>
      </c>
      <c r="P29" s="27" t="s">
        <v>10</v>
      </c>
      <c r="Q29" s="22">
        <v>28.71</v>
      </c>
      <c r="R29" s="26">
        <f>ATAN($V$8/($X$8*N29*0.0254))*180/PI()</f>
        <v>9.2152633456643951</v>
      </c>
      <c r="S29" s="28">
        <f t="shared" si="0"/>
        <v>19.494736654335604</v>
      </c>
      <c r="T29" s="61">
        <f t="shared" si="1"/>
        <v>28.71</v>
      </c>
    </row>
    <row r="30" spans="3:31" x14ac:dyDescent="0.55000000000000004">
      <c r="C30" s="14">
        <v>0.68</v>
      </c>
      <c r="D30" s="15">
        <v>0.1552</v>
      </c>
      <c r="E30" s="15">
        <v>6.12</v>
      </c>
      <c r="F30" s="15">
        <v>1.397</v>
      </c>
      <c r="G30" s="15" t="s">
        <v>10</v>
      </c>
      <c r="H30" s="16">
        <v>27.77</v>
      </c>
      <c r="K30" t="s">
        <v>35</v>
      </c>
      <c r="L30" s="24">
        <v>0.68</v>
      </c>
      <c r="M30" s="25">
        <v>0.1552</v>
      </c>
      <c r="N30" s="19">
        <v>7.48</v>
      </c>
      <c r="O30" s="26">
        <v>1.707444444444445</v>
      </c>
      <c r="P30" s="27" t="s">
        <v>10</v>
      </c>
      <c r="Q30" s="22">
        <v>27.77</v>
      </c>
      <c r="R30" s="26">
        <f>ATAN($V$8/($X$8*N30*0.0254))*180/PI()</f>
        <v>8.681699664153621</v>
      </c>
      <c r="S30" s="28">
        <f t="shared" si="0"/>
        <v>19.088300335846377</v>
      </c>
      <c r="T30" s="61">
        <f t="shared" si="1"/>
        <v>27.769999999999996</v>
      </c>
    </row>
    <row r="31" spans="3:31" x14ac:dyDescent="0.55000000000000004">
      <c r="C31" s="14">
        <v>0.7</v>
      </c>
      <c r="D31" s="15">
        <v>0.1517</v>
      </c>
      <c r="E31" s="15">
        <v>6.3</v>
      </c>
      <c r="F31" s="15">
        <v>1.365</v>
      </c>
      <c r="G31" s="15" t="s">
        <v>10</v>
      </c>
      <c r="H31" s="16">
        <v>27.28</v>
      </c>
      <c r="K31" t="s">
        <v>36</v>
      </c>
      <c r="L31" s="24">
        <v>0.7</v>
      </c>
      <c r="M31" s="25">
        <v>0.1517</v>
      </c>
      <c r="N31" s="19">
        <v>7.7</v>
      </c>
      <c r="O31" s="26">
        <v>1.668333333333333</v>
      </c>
      <c r="P31" s="27" t="s">
        <v>10</v>
      </c>
      <c r="Q31" s="22">
        <v>27.28</v>
      </c>
      <c r="R31" s="26">
        <f>ATAN($V$8/($X$8*N31*0.0254))*180/PI()</f>
        <v>8.4372728000444379</v>
      </c>
      <c r="S31" s="28">
        <f t="shared" si="0"/>
        <v>18.842727199955561</v>
      </c>
      <c r="T31" s="61">
        <f t="shared" si="1"/>
        <v>27.28</v>
      </c>
    </row>
    <row r="32" spans="3:31" x14ac:dyDescent="0.55000000000000004">
      <c r="C32" s="14">
        <v>0.72</v>
      </c>
      <c r="D32" s="15">
        <v>0.14810000000000001</v>
      </c>
      <c r="E32" s="15">
        <v>6.48</v>
      </c>
      <c r="F32" s="15">
        <v>1.333</v>
      </c>
      <c r="G32" s="15" t="s">
        <v>10</v>
      </c>
      <c r="H32" s="16">
        <v>26.77</v>
      </c>
      <c r="K32" t="s">
        <v>37</v>
      </c>
      <c r="L32" s="24">
        <v>0.72</v>
      </c>
      <c r="M32" s="25">
        <v>0.14810000000000001</v>
      </c>
      <c r="N32" s="19">
        <v>7.9200000000000008</v>
      </c>
      <c r="O32" s="26">
        <v>1.6292222222222219</v>
      </c>
      <c r="P32" s="27" t="s">
        <v>10</v>
      </c>
      <c r="Q32" s="22">
        <v>26.77</v>
      </c>
      <c r="R32" s="26">
        <f>ATAN($V$8/($X$8*N32*0.0254))*180/PI()</f>
        <v>8.2061406645918442</v>
      </c>
      <c r="S32" s="28">
        <f t="shared" si="0"/>
        <v>18.563859335408154</v>
      </c>
      <c r="T32" s="61">
        <f t="shared" si="1"/>
        <v>26.769999999999996</v>
      </c>
    </row>
    <row r="33" spans="3:20" x14ac:dyDescent="0.55000000000000004">
      <c r="C33" s="14">
        <v>0.74</v>
      </c>
      <c r="D33" s="15">
        <v>0.14410000000000001</v>
      </c>
      <c r="E33" s="15">
        <v>6.66</v>
      </c>
      <c r="F33" s="15">
        <v>1.2969999999999999</v>
      </c>
      <c r="G33" s="15" t="s">
        <v>38</v>
      </c>
      <c r="H33" s="16">
        <v>26.25</v>
      </c>
      <c r="K33" t="s">
        <v>39</v>
      </c>
      <c r="L33" s="24">
        <v>0.74</v>
      </c>
      <c r="M33" s="25">
        <v>0.14410000000000001</v>
      </c>
      <c r="N33" s="19">
        <v>8.14</v>
      </c>
      <c r="O33" s="26">
        <v>1.5852222222222221</v>
      </c>
      <c r="P33" s="27" t="s">
        <v>38</v>
      </c>
      <c r="Q33" s="22">
        <v>26.25</v>
      </c>
      <c r="R33" s="26">
        <f>ATAN($V$8/($X$8*N33*0.0254))*180/PI()</f>
        <v>7.9872542422708799</v>
      </c>
      <c r="S33" s="28">
        <f t="shared" si="0"/>
        <v>18.262745757729121</v>
      </c>
      <c r="T33" s="61">
        <f t="shared" si="1"/>
        <v>26.25</v>
      </c>
    </row>
    <row r="34" spans="3:20" x14ac:dyDescent="0.55000000000000004">
      <c r="C34" s="14">
        <v>0.76</v>
      </c>
      <c r="D34" s="15">
        <v>0.1401</v>
      </c>
      <c r="E34" s="15">
        <v>6.84</v>
      </c>
      <c r="F34" s="15">
        <v>1.2609999999999999</v>
      </c>
      <c r="G34" s="15" t="s">
        <v>38</v>
      </c>
      <c r="H34" s="16">
        <v>25.7</v>
      </c>
      <c r="K34" t="s">
        <v>40</v>
      </c>
      <c r="L34" s="24">
        <v>0.76</v>
      </c>
      <c r="M34" s="25">
        <v>0.1401</v>
      </c>
      <c r="N34" s="19">
        <v>8.3600000000000012</v>
      </c>
      <c r="O34" s="26">
        <v>1.541222222222222</v>
      </c>
      <c r="P34" s="27" t="s">
        <v>38</v>
      </c>
      <c r="Q34" s="22">
        <v>25.7</v>
      </c>
      <c r="R34" s="26">
        <f>ATAN($V$8/($X$8*N34*0.0254))*180/PI()</f>
        <v>7.7796713664327912</v>
      </c>
      <c r="S34" s="28">
        <f t="shared" si="0"/>
        <v>17.920328633567209</v>
      </c>
      <c r="T34" s="61">
        <f t="shared" si="1"/>
        <v>25.7</v>
      </c>
    </row>
    <row r="35" spans="3:20" x14ac:dyDescent="0.55000000000000004">
      <c r="C35" s="14">
        <v>0.78</v>
      </c>
      <c r="D35" s="15">
        <v>0.13619999999999999</v>
      </c>
      <c r="E35" s="15">
        <v>7.02</v>
      </c>
      <c r="F35" s="15">
        <v>1.226</v>
      </c>
      <c r="G35" s="15" t="s">
        <v>38</v>
      </c>
      <c r="H35" s="16">
        <v>25.12</v>
      </c>
      <c r="K35" t="s">
        <v>41</v>
      </c>
      <c r="L35" s="24">
        <v>0.78</v>
      </c>
      <c r="M35" s="25">
        <v>0.13619999999999999</v>
      </c>
      <c r="N35" s="19">
        <v>8.58</v>
      </c>
      <c r="O35" s="26">
        <v>1.498444444444444</v>
      </c>
      <c r="P35" s="27" t="s">
        <v>38</v>
      </c>
      <c r="Q35" s="22">
        <v>25.12</v>
      </c>
      <c r="R35" s="26">
        <f>ATAN($V$8/($X$8*N35*0.0254))*180/PI()</f>
        <v>7.5825435358255451</v>
      </c>
      <c r="S35" s="28">
        <f t="shared" si="0"/>
        <v>17.537456464174454</v>
      </c>
      <c r="T35" s="61">
        <f t="shared" si="1"/>
        <v>25.119999999999997</v>
      </c>
    </row>
    <row r="36" spans="3:20" x14ac:dyDescent="0.55000000000000004">
      <c r="C36" s="14">
        <v>0.8</v>
      </c>
      <c r="D36" s="15">
        <v>0.13220000000000001</v>
      </c>
      <c r="E36" s="15">
        <v>7.2</v>
      </c>
      <c r="F36" s="15">
        <v>1.19</v>
      </c>
      <c r="G36" s="15" t="s">
        <v>42</v>
      </c>
      <c r="H36" s="16">
        <v>24.48</v>
      </c>
      <c r="K36" t="s">
        <v>43</v>
      </c>
      <c r="L36" s="17">
        <v>0.8</v>
      </c>
      <c r="M36" s="18">
        <v>0.13220000000000001</v>
      </c>
      <c r="N36" s="19">
        <v>8.8000000000000007</v>
      </c>
      <c r="O36" s="20">
        <v>1.454444444444444</v>
      </c>
      <c r="P36" s="21" t="s">
        <v>42</v>
      </c>
      <c r="Q36" s="22">
        <v>24.48</v>
      </c>
      <c r="R36" s="20">
        <f>ATAN($V$8/($X$8*N36*0.0254))*180/PI()</f>
        <v>7.3951046243412941</v>
      </c>
      <c r="S36" s="23">
        <f t="shared" si="0"/>
        <v>17.084895375658707</v>
      </c>
      <c r="T36" s="61">
        <f t="shared" si="1"/>
        <v>24.48</v>
      </c>
    </row>
    <row r="37" spans="3:20" x14ac:dyDescent="0.55000000000000004">
      <c r="C37" s="14">
        <v>0.82</v>
      </c>
      <c r="D37" s="15">
        <v>0.1283</v>
      </c>
      <c r="E37" s="15">
        <v>7.38</v>
      </c>
      <c r="F37" s="15">
        <v>1.1539999999999999</v>
      </c>
      <c r="G37" s="15" t="s">
        <v>42</v>
      </c>
      <c r="H37" s="16">
        <v>23.77</v>
      </c>
      <c r="K37" t="s">
        <v>44</v>
      </c>
      <c r="L37" s="24">
        <v>0.82</v>
      </c>
      <c r="M37" s="25">
        <v>0.1283</v>
      </c>
      <c r="N37" s="19">
        <v>9.0200000000000014</v>
      </c>
      <c r="O37" s="26">
        <v>1.4104444444444439</v>
      </c>
      <c r="P37" s="27" t="s">
        <v>42</v>
      </c>
      <c r="Q37" s="22">
        <v>23.77</v>
      </c>
      <c r="R37" s="26">
        <f>ATAN($V$8/($X$8*N37*0.0254))*180/PI()</f>
        <v>7.2166611761115336</v>
      </c>
      <c r="S37" s="28">
        <f t="shared" si="0"/>
        <v>16.553338823888467</v>
      </c>
      <c r="T37" s="61">
        <f t="shared" si="1"/>
        <v>23.77</v>
      </c>
    </row>
    <row r="38" spans="3:20" x14ac:dyDescent="0.55000000000000004">
      <c r="C38" s="14">
        <v>0.86</v>
      </c>
      <c r="D38" s="15">
        <v>0.1203</v>
      </c>
      <c r="E38" s="15">
        <v>7.74</v>
      </c>
      <c r="F38" s="15">
        <v>1.083</v>
      </c>
      <c r="G38" s="15" t="s">
        <v>45</v>
      </c>
      <c r="H38" s="16">
        <v>21.97</v>
      </c>
      <c r="K38" t="s">
        <v>46</v>
      </c>
      <c r="L38" s="24">
        <v>0.86</v>
      </c>
      <c r="M38" s="25">
        <v>0.1203</v>
      </c>
      <c r="N38" s="19">
        <v>9.4600000000000009</v>
      </c>
      <c r="O38" s="26">
        <v>1.323666666666667</v>
      </c>
      <c r="P38" s="27" t="s">
        <v>45</v>
      </c>
      <c r="Q38" s="22">
        <v>21.97</v>
      </c>
      <c r="R38" s="26">
        <f>ATAN($V$8/($X$8*N38*0.0254))*180/PI()</f>
        <v>6.8843010913334535</v>
      </c>
      <c r="S38" s="28">
        <f t="shared" si="0"/>
        <v>15.085698908666545</v>
      </c>
      <c r="T38" s="61">
        <f t="shared" si="1"/>
        <v>21.97</v>
      </c>
    </row>
    <row r="39" spans="3:20" x14ac:dyDescent="0.55000000000000004">
      <c r="C39" s="14">
        <v>0.88</v>
      </c>
      <c r="D39" s="15">
        <v>0.1164</v>
      </c>
      <c r="E39" s="15">
        <v>7.92</v>
      </c>
      <c r="F39" s="15">
        <v>1.0469999999999999</v>
      </c>
      <c r="G39" s="15" t="s">
        <v>47</v>
      </c>
      <c r="H39" s="16">
        <v>20.78</v>
      </c>
      <c r="K39" t="s">
        <v>48</v>
      </c>
      <c r="L39" s="24">
        <v>0.88</v>
      </c>
      <c r="M39" s="25">
        <v>0.1164</v>
      </c>
      <c r="N39" s="19">
        <v>9.6800000000000015</v>
      </c>
      <c r="O39" s="26">
        <v>1.279666666666667</v>
      </c>
      <c r="P39" s="27" t="s">
        <v>47</v>
      </c>
      <c r="Q39" s="22">
        <v>20.78</v>
      </c>
      <c r="R39" s="26">
        <f>ATAN($V$8/($X$8*N39*0.0254))*180/PI()</f>
        <v>6.7292910025529444</v>
      </c>
      <c r="S39" s="28">
        <f t="shared" si="0"/>
        <v>14.050708997447057</v>
      </c>
      <c r="T39" s="61">
        <f t="shared" si="1"/>
        <v>20.78</v>
      </c>
    </row>
    <row r="40" spans="3:20" x14ac:dyDescent="0.55000000000000004">
      <c r="C40" s="14">
        <v>0.91</v>
      </c>
      <c r="D40" s="15">
        <v>0.1104</v>
      </c>
      <c r="E40" s="15">
        <v>8.19</v>
      </c>
      <c r="F40" s="15">
        <v>0.99399999999999999</v>
      </c>
      <c r="G40" s="15" t="s">
        <v>49</v>
      </c>
      <c r="H40" s="16">
        <v>18.440000000000001</v>
      </c>
      <c r="K40" t="s">
        <v>50</v>
      </c>
      <c r="L40" s="24">
        <v>0.91</v>
      </c>
      <c r="M40" s="25">
        <v>0.1104</v>
      </c>
      <c r="N40" s="19">
        <v>10.01</v>
      </c>
      <c r="O40" s="26">
        <v>1.2148888888888889</v>
      </c>
      <c r="P40" s="27" t="s">
        <v>49</v>
      </c>
      <c r="Q40" s="22">
        <v>18.440000000000001</v>
      </c>
      <c r="R40" s="26">
        <f>ATAN($V$8/($X$8*N40*0.0254))*180/PI()</f>
        <v>6.5093822571785083</v>
      </c>
      <c r="S40" s="28">
        <f t="shared" si="0"/>
        <v>11.930617742821493</v>
      </c>
      <c r="T40" s="61">
        <f t="shared" si="1"/>
        <v>18.440000000000001</v>
      </c>
    </row>
    <row r="41" spans="3:20" x14ac:dyDescent="0.55000000000000004">
      <c r="C41" s="14">
        <v>0.94940000000000002</v>
      </c>
      <c r="D41" s="15">
        <v>0.1026</v>
      </c>
      <c r="E41" s="15">
        <v>8.5399999999999991</v>
      </c>
      <c r="F41" s="15">
        <v>0.92400000000000004</v>
      </c>
      <c r="G41" s="15" t="s">
        <v>51</v>
      </c>
      <c r="H41" s="16">
        <v>13.85</v>
      </c>
      <c r="K41" t="s">
        <v>52</v>
      </c>
      <c r="L41" s="24">
        <v>0.94940000000000002</v>
      </c>
      <c r="M41" s="25">
        <v>0.1026</v>
      </c>
      <c r="N41" s="19">
        <v>10.43777777777778</v>
      </c>
      <c r="O41" s="26">
        <v>1.129333333333334</v>
      </c>
      <c r="P41" s="27" t="s">
        <v>51</v>
      </c>
      <c r="Q41" s="22">
        <v>13.85</v>
      </c>
      <c r="R41" s="26">
        <f>ATAN($V$8/($X$8*N41*0.0254))*180/PI()</f>
        <v>6.2447564584734128</v>
      </c>
      <c r="S41" s="28">
        <f t="shared" si="0"/>
        <v>7.6052435415265869</v>
      </c>
      <c r="T41" s="61">
        <f t="shared" si="1"/>
        <v>13.85</v>
      </c>
    </row>
    <row r="42" spans="3:20" x14ac:dyDescent="0.55000000000000004">
      <c r="C42" s="14">
        <v>0.97860000000000003</v>
      </c>
      <c r="D42" s="15">
        <v>9.6799999999999997E-2</v>
      </c>
      <c r="E42" s="15">
        <v>8.81</v>
      </c>
      <c r="F42" s="15">
        <v>0.872</v>
      </c>
      <c r="G42" s="15" t="s">
        <v>53</v>
      </c>
      <c r="H42" s="16">
        <v>8.81</v>
      </c>
      <c r="K42" t="s">
        <v>54</v>
      </c>
      <c r="L42" s="24">
        <v>0.97860000000000003</v>
      </c>
      <c r="M42" s="25">
        <v>9.6799999999999997E-2</v>
      </c>
      <c r="N42" s="19">
        <v>10.767777777777781</v>
      </c>
      <c r="O42" s="26">
        <v>1.0657777777777779</v>
      </c>
      <c r="P42" s="27" t="s">
        <v>53</v>
      </c>
      <c r="Q42" s="22">
        <v>8.81</v>
      </c>
      <c r="R42" s="26">
        <f>ATAN($V$8/($X$8*N42*0.0254))*180/PI()</f>
        <v>6.0548173258839393</v>
      </c>
      <c r="S42" s="28">
        <f t="shared" si="0"/>
        <v>2.7551826741160612</v>
      </c>
      <c r="T42" s="61">
        <f t="shared" si="1"/>
        <v>8.81</v>
      </c>
    </row>
    <row r="43" spans="3:20" ht="14.7" thickBot="1" x14ac:dyDescent="0.6">
      <c r="C43" s="29">
        <v>0.99970000000000003</v>
      </c>
      <c r="D43" s="30">
        <v>9.2700000000000005E-2</v>
      </c>
      <c r="E43" s="30">
        <v>9</v>
      </c>
      <c r="F43" s="30">
        <v>0.83399999999999996</v>
      </c>
      <c r="G43" s="30" t="s">
        <v>53</v>
      </c>
      <c r="H43" s="31">
        <v>3.99</v>
      </c>
      <c r="K43" t="s">
        <v>55</v>
      </c>
      <c r="L43" s="32">
        <v>0.99970000000000003</v>
      </c>
      <c r="M43" s="33">
        <v>9.2700000000000005E-2</v>
      </c>
      <c r="N43" s="34">
        <v>11</v>
      </c>
      <c r="O43" s="35">
        <v>1.019333333333333</v>
      </c>
      <c r="P43" s="36" t="s">
        <v>53</v>
      </c>
      <c r="Q43" s="37">
        <v>3.99</v>
      </c>
      <c r="R43" s="35">
        <f>ATAN($V$8/($X$8*N43*0.0254))*180/PI()</f>
        <v>5.9279133322346276</v>
      </c>
      <c r="S43" s="38">
        <f t="shared" si="0"/>
        <v>-1.9379133322346274</v>
      </c>
      <c r="T43" s="61">
        <f t="shared" si="1"/>
        <v>3.99</v>
      </c>
    </row>
    <row r="53" spans="3:23" ht="14.7" thickBot="1" x14ac:dyDescent="0.6"/>
    <row r="54" spans="3:23" ht="14.7" thickBot="1" x14ac:dyDescent="0.6">
      <c r="C54" s="1" t="s">
        <v>56</v>
      </c>
      <c r="D54" s="2"/>
      <c r="E54" s="2"/>
      <c r="F54" s="2"/>
      <c r="G54" s="2"/>
      <c r="H54" s="3"/>
      <c r="L54" s="4" t="s">
        <v>57</v>
      </c>
      <c r="M54" s="5"/>
      <c r="N54" s="5"/>
      <c r="O54" s="5"/>
      <c r="P54" s="5"/>
      <c r="Q54" s="5"/>
      <c r="R54" s="5"/>
      <c r="S54" s="6"/>
    </row>
    <row r="55" spans="3:23" ht="14.7" thickBot="1" x14ac:dyDescent="0.6">
      <c r="C55" s="7" t="s">
        <v>2</v>
      </c>
      <c r="D55" s="8" t="s">
        <v>3</v>
      </c>
      <c r="E55" s="8" t="s">
        <v>4</v>
      </c>
      <c r="F55" s="8" t="s">
        <v>5</v>
      </c>
      <c r="G55" s="8" t="s">
        <v>6</v>
      </c>
      <c r="H55" s="9" t="s">
        <v>7</v>
      </c>
      <c r="L55" s="39" t="s">
        <v>2</v>
      </c>
      <c r="M55" s="40" t="s">
        <v>3</v>
      </c>
      <c r="N55" s="40" t="s">
        <v>4</v>
      </c>
      <c r="O55" s="40" t="s">
        <v>5</v>
      </c>
      <c r="P55" s="40" t="s">
        <v>6</v>
      </c>
      <c r="Q55" s="40" t="s">
        <v>7</v>
      </c>
      <c r="R55" s="40" t="s">
        <v>8</v>
      </c>
      <c r="S55" s="41" t="s">
        <v>58</v>
      </c>
      <c r="U55" s="65"/>
      <c r="V55" s="65"/>
      <c r="W55" s="65"/>
    </row>
    <row r="56" spans="3:23" x14ac:dyDescent="0.55000000000000004">
      <c r="C56" s="42">
        <v>0.2</v>
      </c>
      <c r="D56" s="27">
        <v>0.19309999999999999</v>
      </c>
      <c r="E56" s="27">
        <v>1.8</v>
      </c>
      <c r="F56" s="27">
        <v>1.738</v>
      </c>
      <c r="G56" s="27" t="s">
        <v>10</v>
      </c>
      <c r="H56" s="43">
        <v>47.25</v>
      </c>
      <c r="L56" s="44">
        <v>0.2</v>
      </c>
      <c r="M56" s="45">
        <v>0.19309999999999999</v>
      </c>
      <c r="N56" s="45">
        <v>2.2000000000000002</v>
      </c>
      <c r="O56" s="46">
        <v>2.124222222222222</v>
      </c>
      <c r="P56" s="45" t="s">
        <v>10</v>
      </c>
      <c r="Q56" s="45">
        <v>47.25</v>
      </c>
      <c r="R56" s="26">
        <f>ATAN($V$8/($X$8*N56*0.0254))*180/PI()</f>
        <v>27.436614092593295</v>
      </c>
      <c r="S56" s="28">
        <f>Q56-R56</f>
        <v>19.813385907406705</v>
      </c>
    </row>
    <row r="57" spans="3:23" x14ac:dyDescent="0.55000000000000004">
      <c r="C57" s="42">
        <v>0.22</v>
      </c>
      <c r="D57" s="27">
        <v>0.1958</v>
      </c>
      <c r="E57" s="27">
        <v>1.98</v>
      </c>
      <c r="F57" s="27">
        <v>1.762</v>
      </c>
      <c r="G57" s="27" t="s">
        <v>10</v>
      </c>
      <c r="H57" s="43">
        <v>44.91</v>
      </c>
      <c r="L57" s="44">
        <v>0.22</v>
      </c>
      <c r="M57" s="45">
        <v>0.1958</v>
      </c>
      <c r="N57" s="47">
        <v>2.42</v>
      </c>
      <c r="O57" s="46">
        <v>2.1535555555555561</v>
      </c>
      <c r="P57" s="45" t="s">
        <v>10</v>
      </c>
      <c r="Q57" s="45">
        <v>44.91</v>
      </c>
      <c r="R57" s="26">
        <f>ATAN($V$8/($X$8*N57*0.0254))*180/PI()</f>
        <v>25.265682082439163</v>
      </c>
      <c r="S57" s="28">
        <f t="shared" ref="S57:S92" si="2">Q57-R57</f>
        <v>19.644317917560834</v>
      </c>
    </row>
    <row r="58" spans="3:23" x14ac:dyDescent="0.55000000000000004">
      <c r="C58" s="42">
        <v>0.24</v>
      </c>
      <c r="D58" s="27">
        <v>0.19850000000000001</v>
      </c>
      <c r="E58" s="27">
        <v>2.16</v>
      </c>
      <c r="F58" s="27">
        <v>1.7869999999999999</v>
      </c>
      <c r="G58" s="27" t="s">
        <v>10</v>
      </c>
      <c r="H58" s="43">
        <v>42.82</v>
      </c>
      <c r="L58" s="44">
        <v>0.24</v>
      </c>
      <c r="M58" s="45">
        <v>0.19850000000000001</v>
      </c>
      <c r="N58" s="47">
        <v>2.640000000000001</v>
      </c>
      <c r="O58" s="46">
        <v>2.1841111111111111</v>
      </c>
      <c r="P58" s="45" t="s">
        <v>10</v>
      </c>
      <c r="Q58" s="45">
        <v>42.82</v>
      </c>
      <c r="R58" s="26">
        <f>ATAN($V$8/($X$8*N58*0.0254))*180/PI()</f>
        <v>23.394989005181422</v>
      </c>
      <c r="S58" s="28">
        <f t="shared" si="2"/>
        <v>19.425010994818578</v>
      </c>
    </row>
    <row r="59" spans="3:23" x14ac:dyDescent="0.55000000000000004">
      <c r="C59" s="42">
        <v>0.26</v>
      </c>
      <c r="D59" s="27">
        <v>0.20080000000000001</v>
      </c>
      <c r="E59" s="27">
        <v>2.34</v>
      </c>
      <c r="F59" s="27">
        <v>1.8069999999999999</v>
      </c>
      <c r="G59" s="27" t="s">
        <v>10</v>
      </c>
      <c r="H59" s="43">
        <v>40.97</v>
      </c>
      <c r="L59" s="44">
        <v>0.26</v>
      </c>
      <c r="M59" s="45">
        <v>0.20080000000000001</v>
      </c>
      <c r="N59" s="47">
        <v>2.86</v>
      </c>
      <c r="O59" s="46">
        <v>2.2085555555555558</v>
      </c>
      <c r="P59" s="45" t="s">
        <v>10</v>
      </c>
      <c r="Q59" s="45">
        <v>40.97</v>
      </c>
      <c r="R59" s="26">
        <f>ATAN($V$8/($X$8*N59*0.0254))*180/PI()</f>
        <v>21.769554318099644</v>
      </c>
      <c r="S59" s="28">
        <f t="shared" si="2"/>
        <v>19.200445681900355</v>
      </c>
    </row>
    <row r="60" spans="3:23" x14ac:dyDescent="0.55000000000000004">
      <c r="C60" s="42">
        <v>0.28000000000000003</v>
      </c>
      <c r="D60" s="27">
        <v>0.2024</v>
      </c>
      <c r="E60" s="27">
        <v>2.52</v>
      </c>
      <c r="F60" s="27">
        <v>1.8220000000000001</v>
      </c>
      <c r="G60" s="27" t="s">
        <v>10</v>
      </c>
      <c r="H60" s="43">
        <v>39.32</v>
      </c>
      <c r="L60" s="44">
        <v>0.28000000000000003</v>
      </c>
      <c r="M60" s="45">
        <v>0.2024</v>
      </c>
      <c r="N60" s="47">
        <v>3.08</v>
      </c>
      <c r="O60" s="46">
        <v>2.2268888888888889</v>
      </c>
      <c r="P60" s="45" t="s">
        <v>10</v>
      </c>
      <c r="Q60" s="45">
        <v>39.32</v>
      </c>
      <c r="R60" s="26">
        <f>ATAN($V$8/($X$8*N60*0.0254))*180/PI()</f>
        <v>20.346283303216712</v>
      </c>
      <c r="S60" s="28">
        <f t="shared" si="2"/>
        <v>18.973716696783288</v>
      </c>
    </row>
    <row r="61" spans="3:23" x14ac:dyDescent="0.55000000000000004">
      <c r="C61" s="42">
        <v>0.3</v>
      </c>
      <c r="D61" s="27">
        <v>0.2031</v>
      </c>
      <c r="E61" s="27">
        <v>2.7</v>
      </c>
      <c r="F61" s="27">
        <v>1.8280000000000001</v>
      </c>
      <c r="G61" s="27" t="s">
        <v>10</v>
      </c>
      <c r="H61" s="43">
        <v>37.840000000000003</v>
      </c>
      <c r="L61" s="44">
        <v>0.3</v>
      </c>
      <c r="M61" s="45">
        <v>0.2031</v>
      </c>
      <c r="N61" s="47">
        <v>3.3</v>
      </c>
      <c r="O61" s="46">
        <v>2.2342222222222219</v>
      </c>
      <c r="P61" s="45" t="s">
        <v>10</v>
      </c>
      <c r="Q61" s="45">
        <v>37.840000000000003</v>
      </c>
      <c r="R61" s="26">
        <f>ATAN($V$8/($X$8*N61*0.0254))*180/PI()</f>
        <v>19.091138474142916</v>
      </c>
      <c r="S61" s="28">
        <f t="shared" si="2"/>
        <v>18.748861525857087</v>
      </c>
    </row>
    <row r="62" spans="3:23" x14ac:dyDescent="0.55000000000000004">
      <c r="C62" s="42">
        <v>0.32</v>
      </c>
      <c r="D62" s="27">
        <v>0.2029</v>
      </c>
      <c r="E62" s="27">
        <v>2.88</v>
      </c>
      <c r="F62" s="27">
        <v>1.8260000000000001</v>
      </c>
      <c r="G62" s="27" t="s">
        <v>10</v>
      </c>
      <c r="H62" s="43">
        <v>36.520000000000003</v>
      </c>
      <c r="L62" s="44">
        <v>0.32</v>
      </c>
      <c r="M62" s="45">
        <v>0.2029</v>
      </c>
      <c r="N62" s="47">
        <v>3.52</v>
      </c>
      <c r="O62" s="46">
        <v>2.2317777777777779</v>
      </c>
      <c r="P62" s="45" t="s">
        <v>10</v>
      </c>
      <c r="Q62" s="45">
        <v>36.520000000000003</v>
      </c>
      <c r="R62" s="26">
        <f>ATAN($V$8/($X$8*N62*0.0254))*180/PI()</f>
        <v>17.97700823590057</v>
      </c>
      <c r="S62" s="28">
        <f t="shared" si="2"/>
        <v>18.542991764099433</v>
      </c>
    </row>
    <row r="63" spans="3:23" x14ac:dyDescent="0.55000000000000004">
      <c r="C63" s="42">
        <v>0.34</v>
      </c>
      <c r="D63" s="27">
        <v>0.2024</v>
      </c>
      <c r="E63" s="27">
        <v>3.06</v>
      </c>
      <c r="F63" s="27">
        <v>1.821</v>
      </c>
      <c r="G63" s="27" t="s">
        <v>10</v>
      </c>
      <c r="H63" s="43">
        <v>35.340000000000003</v>
      </c>
      <c r="L63" s="44">
        <v>0.34</v>
      </c>
      <c r="M63" s="45">
        <v>0.2024</v>
      </c>
      <c r="N63" s="47">
        <v>3.74</v>
      </c>
      <c r="O63" s="46">
        <v>2.2256666666666671</v>
      </c>
      <c r="P63" s="45" t="s">
        <v>10</v>
      </c>
      <c r="Q63" s="45">
        <v>35.340000000000003</v>
      </c>
      <c r="R63" s="26">
        <f>ATAN($V$8/($X$8*N63*0.0254))*180/PI()</f>
        <v>16.982109397832289</v>
      </c>
      <c r="S63" s="28">
        <f t="shared" si="2"/>
        <v>18.357890602167714</v>
      </c>
    </row>
    <row r="64" spans="3:23" x14ac:dyDescent="0.55000000000000004">
      <c r="C64" s="42">
        <v>0.36</v>
      </c>
      <c r="D64" s="27">
        <v>0.2014</v>
      </c>
      <c r="E64" s="27">
        <v>3.24</v>
      </c>
      <c r="F64" s="27">
        <v>1.8129999999999999</v>
      </c>
      <c r="G64" s="27" t="s">
        <v>10</v>
      </c>
      <c r="H64" s="43">
        <v>34.28</v>
      </c>
      <c r="L64" s="44">
        <v>0.36</v>
      </c>
      <c r="M64" s="45">
        <v>0.2014</v>
      </c>
      <c r="N64" s="47">
        <v>3.96</v>
      </c>
      <c r="O64" s="46">
        <v>2.2158888888888888</v>
      </c>
      <c r="P64" s="45" t="s">
        <v>10</v>
      </c>
      <c r="Q64" s="45">
        <v>34.28</v>
      </c>
      <c r="R64" s="26">
        <f>ATAN($V$8/($X$8*N64*0.0254))*180/PI()</f>
        <v>16.088788794173901</v>
      </c>
      <c r="S64" s="28">
        <f t="shared" si="2"/>
        <v>18.1912112058261</v>
      </c>
    </row>
    <row r="65" spans="3:19" x14ac:dyDescent="0.55000000000000004">
      <c r="C65" s="42">
        <v>0.38</v>
      </c>
      <c r="D65" s="27">
        <v>0.2</v>
      </c>
      <c r="E65" s="27">
        <v>3.42</v>
      </c>
      <c r="F65" s="27">
        <v>1.8</v>
      </c>
      <c r="G65" s="27" t="s">
        <v>10</v>
      </c>
      <c r="H65" s="43">
        <v>33.33</v>
      </c>
      <c r="L65" s="44">
        <v>0.38</v>
      </c>
      <c r="M65" s="45">
        <v>0.2</v>
      </c>
      <c r="N65" s="47">
        <v>4.1800000000000006</v>
      </c>
      <c r="O65" s="46">
        <v>2.2000000000000002</v>
      </c>
      <c r="P65" s="45" t="s">
        <v>10</v>
      </c>
      <c r="Q65" s="45">
        <v>33.33</v>
      </c>
      <c r="R65" s="26">
        <f>ATAN($V$8/($X$8*N65*0.0254))*180/PI()</f>
        <v>15.2826204218405</v>
      </c>
      <c r="S65" s="28">
        <f t="shared" si="2"/>
        <v>18.0473795781595</v>
      </c>
    </row>
    <row r="66" spans="3:19" x14ac:dyDescent="0.55000000000000004">
      <c r="C66" s="42">
        <v>0.4</v>
      </c>
      <c r="D66" s="27">
        <v>0.1981</v>
      </c>
      <c r="E66" s="27">
        <v>3.6</v>
      </c>
      <c r="F66" s="27">
        <v>1.7829999999999999</v>
      </c>
      <c r="G66" s="27" t="s">
        <v>10</v>
      </c>
      <c r="H66" s="43">
        <v>32.46</v>
      </c>
      <c r="L66" s="44">
        <v>0.4</v>
      </c>
      <c r="M66" s="45">
        <v>0.1981</v>
      </c>
      <c r="N66" s="47">
        <v>4.4000000000000004</v>
      </c>
      <c r="O66" s="46">
        <v>2.1792222222222222</v>
      </c>
      <c r="P66" s="45" t="s">
        <v>10</v>
      </c>
      <c r="Q66" s="45">
        <v>32.46</v>
      </c>
      <c r="R66" s="26">
        <f>ATAN($V$8/($X$8*N66*0.0254))*180/PI()</f>
        <v>14.5517209666585</v>
      </c>
      <c r="S66" s="28">
        <f t="shared" si="2"/>
        <v>17.908279033341501</v>
      </c>
    </row>
    <row r="67" spans="3:19" x14ac:dyDescent="0.55000000000000004">
      <c r="C67" s="42">
        <v>0.42</v>
      </c>
      <c r="D67" s="27">
        <v>0.19589999999999999</v>
      </c>
      <c r="E67" s="27">
        <v>3.78</v>
      </c>
      <c r="F67" s="27">
        <v>1.7629999999999999</v>
      </c>
      <c r="G67" s="27" t="s">
        <v>10</v>
      </c>
      <c r="H67" s="43">
        <v>31.67</v>
      </c>
      <c r="L67" s="44">
        <v>0.42</v>
      </c>
      <c r="M67" s="45">
        <v>0.19589999999999999</v>
      </c>
      <c r="N67" s="47">
        <v>4.62</v>
      </c>
      <c r="O67" s="46">
        <v>2.1547777777777779</v>
      </c>
      <c r="P67" s="45" t="s">
        <v>10</v>
      </c>
      <c r="Q67" s="45">
        <v>31.67</v>
      </c>
      <c r="R67" s="26">
        <f>ATAN($V$8/($X$8*N67*0.0254))*180/PI()</f>
        <v>13.886227105564872</v>
      </c>
      <c r="S67" s="28">
        <f t="shared" si="2"/>
        <v>17.783772894435131</v>
      </c>
    </row>
    <row r="68" spans="3:19" x14ac:dyDescent="0.55000000000000004">
      <c r="C68" s="42">
        <v>0.44</v>
      </c>
      <c r="D68" s="27">
        <v>0.19350000000000001</v>
      </c>
      <c r="E68" s="27">
        <v>3.96</v>
      </c>
      <c r="F68" s="27">
        <v>1.7410000000000001</v>
      </c>
      <c r="G68" s="27" t="s">
        <v>10</v>
      </c>
      <c r="H68" s="43">
        <v>30.95</v>
      </c>
      <c r="L68" s="44">
        <v>0.44</v>
      </c>
      <c r="M68" s="45">
        <v>0.19350000000000001</v>
      </c>
      <c r="N68" s="47">
        <v>4.8400000000000007</v>
      </c>
      <c r="O68" s="46">
        <v>2.1278888888888892</v>
      </c>
      <c r="P68" s="45" t="s">
        <v>10</v>
      </c>
      <c r="Q68" s="45">
        <v>30.95</v>
      </c>
      <c r="R68" s="26">
        <f>ATAN($V$8/($X$8*N68*0.0254))*180/PI()</f>
        <v>13.277893235250902</v>
      </c>
      <c r="S68" s="28">
        <f t="shared" si="2"/>
        <v>17.672106764749095</v>
      </c>
    </row>
    <row r="69" spans="3:19" x14ac:dyDescent="0.55000000000000004">
      <c r="C69" s="42">
        <v>0.46</v>
      </c>
      <c r="D69" s="27">
        <v>0.1908</v>
      </c>
      <c r="E69" s="27">
        <v>4.1399999999999997</v>
      </c>
      <c r="F69" s="27">
        <v>1.7170000000000001</v>
      </c>
      <c r="G69" s="27" t="s">
        <v>10</v>
      </c>
      <c r="H69" s="43">
        <v>30.29</v>
      </c>
      <c r="L69" s="44">
        <v>0.46</v>
      </c>
      <c r="M69" s="45">
        <v>0.1908</v>
      </c>
      <c r="N69" s="47">
        <v>5.0599999999999996</v>
      </c>
      <c r="O69" s="46">
        <v>2.098555555555556</v>
      </c>
      <c r="P69" s="45" t="s">
        <v>10</v>
      </c>
      <c r="Q69" s="45">
        <v>30.29</v>
      </c>
      <c r="R69" s="26">
        <f>ATAN($V$8/($X$8*N69*0.0254))*180/PI()</f>
        <v>12.719779414857333</v>
      </c>
      <c r="S69" s="28">
        <f t="shared" si="2"/>
        <v>17.570220585142664</v>
      </c>
    </row>
    <row r="70" spans="3:19" x14ac:dyDescent="0.55000000000000004">
      <c r="C70" s="42">
        <v>0.48</v>
      </c>
      <c r="D70" s="27">
        <v>0.18790000000000001</v>
      </c>
      <c r="E70" s="27">
        <v>4.32</v>
      </c>
      <c r="F70" s="27">
        <v>1.6910000000000001</v>
      </c>
      <c r="G70" s="27" t="s">
        <v>10</v>
      </c>
      <c r="H70" s="43">
        <v>29.69</v>
      </c>
      <c r="L70" s="44">
        <v>0.48</v>
      </c>
      <c r="M70" s="45">
        <v>0.18790000000000001</v>
      </c>
      <c r="N70" s="47">
        <v>5.2800000000000011</v>
      </c>
      <c r="O70" s="46">
        <v>2.0667777777777778</v>
      </c>
      <c r="P70" s="45" t="s">
        <v>10</v>
      </c>
      <c r="Q70" s="45">
        <v>29.69</v>
      </c>
      <c r="R70" s="26">
        <f>ATAN($V$8/($X$8*N70*0.0254))*180/PI()</f>
        <v>12.206007371498142</v>
      </c>
      <c r="S70" s="28">
        <f t="shared" si="2"/>
        <v>17.483992628501859</v>
      </c>
    </row>
    <row r="71" spans="3:19" x14ac:dyDescent="0.55000000000000004">
      <c r="C71" s="42">
        <v>0.5</v>
      </c>
      <c r="D71" s="27">
        <v>0.18490000000000001</v>
      </c>
      <c r="E71" s="27">
        <v>4.5</v>
      </c>
      <c r="F71" s="27">
        <v>1.6639999999999999</v>
      </c>
      <c r="G71" s="27" t="s">
        <v>10</v>
      </c>
      <c r="H71" s="43">
        <v>29.12</v>
      </c>
      <c r="L71" s="44">
        <v>0.5</v>
      </c>
      <c r="M71" s="45">
        <v>0.18490000000000001</v>
      </c>
      <c r="N71" s="47">
        <v>5.5</v>
      </c>
      <c r="O71" s="46">
        <v>2.0337777777777779</v>
      </c>
      <c r="P71" s="45" t="s">
        <v>10</v>
      </c>
      <c r="Q71" s="45">
        <v>29.12</v>
      </c>
      <c r="R71" s="26">
        <f>ATAN($V$8/($X$8*N71*0.0254))*180/PI()</f>
        <v>11.731568241811555</v>
      </c>
      <c r="S71" s="28">
        <f t="shared" si="2"/>
        <v>17.388431758188446</v>
      </c>
    </row>
    <row r="72" spans="3:19" x14ac:dyDescent="0.55000000000000004">
      <c r="C72" s="42">
        <v>0.52</v>
      </c>
      <c r="D72" s="27">
        <v>0.18190000000000001</v>
      </c>
      <c r="E72" s="27">
        <v>4.68</v>
      </c>
      <c r="F72" s="27">
        <v>1.637</v>
      </c>
      <c r="G72" s="27" t="s">
        <v>10</v>
      </c>
      <c r="H72" s="43">
        <v>28.6</v>
      </c>
      <c r="L72" s="44">
        <v>0.52</v>
      </c>
      <c r="M72" s="45">
        <v>0.18190000000000001</v>
      </c>
      <c r="N72" s="47">
        <v>5.72</v>
      </c>
      <c r="O72" s="46">
        <v>2.000777777777778</v>
      </c>
      <c r="P72" s="45" t="s">
        <v>10</v>
      </c>
      <c r="Q72" s="45">
        <v>28.6</v>
      </c>
      <c r="R72" s="26">
        <f>ATAN($V$8/($X$8*N72*0.0254))*180/PI()</f>
        <v>11.292169939187064</v>
      </c>
      <c r="S72" s="28">
        <f t="shared" si="2"/>
        <v>17.30783006081294</v>
      </c>
    </row>
    <row r="73" spans="3:19" x14ac:dyDescent="0.55000000000000004">
      <c r="C73" s="42">
        <v>0.54</v>
      </c>
      <c r="D73" s="27">
        <v>0.17879999999999999</v>
      </c>
      <c r="E73" s="27">
        <v>4.8600000000000003</v>
      </c>
      <c r="F73" s="27">
        <v>1.609</v>
      </c>
      <c r="G73" s="27" t="s">
        <v>10</v>
      </c>
      <c r="H73" s="43">
        <v>28.11</v>
      </c>
      <c r="L73" s="44">
        <v>0.54</v>
      </c>
      <c r="M73" s="45">
        <v>0.17879999999999999</v>
      </c>
      <c r="N73" s="47">
        <v>5.9400000000000013</v>
      </c>
      <c r="O73" s="46">
        <v>1.9665555555555561</v>
      </c>
      <c r="P73" s="45" t="s">
        <v>10</v>
      </c>
      <c r="Q73" s="45">
        <v>28.11</v>
      </c>
      <c r="R73" s="26">
        <f>ATAN($V$8/($X$8*N73*0.0254))*180/PI()</f>
        <v>10.884115101454659</v>
      </c>
      <c r="S73" s="28">
        <f t="shared" si="2"/>
        <v>17.225884898545338</v>
      </c>
    </row>
    <row r="74" spans="3:19" x14ac:dyDescent="0.55000000000000004">
      <c r="C74" s="42">
        <v>0.56000000000000005</v>
      </c>
      <c r="D74" s="27">
        <v>0.17560000000000001</v>
      </c>
      <c r="E74" s="27">
        <v>5.04</v>
      </c>
      <c r="F74" s="27">
        <v>1.58</v>
      </c>
      <c r="G74" s="27" t="s">
        <v>10</v>
      </c>
      <c r="H74" s="43">
        <v>27.65</v>
      </c>
      <c r="L74" s="44">
        <v>0.56000000000000005</v>
      </c>
      <c r="M74" s="45">
        <v>0.17560000000000001</v>
      </c>
      <c r="N74" s="47">
        <v>6.16</v>
      </c>
      <c r="O74" s="46">
        <v>1.931111111111111</v>
      </c>
      <c r="P74" s="45" t="s">
        <v>10</v>
      </c>
      <c r="Q74" s="45">
        <v>27.65</v>
      </c>
      <c r="R74" s="26">
        <f>ATAN($V$8/($X$8*N74*0.0254))*180/PI()</f>
        <v>10.504202814326534</v>
      </c>
      <c r="S74" s="28">
        <f t="shared" si="2"/>
        <v>17.145797185673466</v>
      </c>
    </row>
    <row r="75" spans="3:19" x14ac:dyDescent="0.55000000000000004">
      <c r="C75" s="42">
        <v>0.57999999999999996</v>
      </c>
      <c r="D75" s="27">
        <v>0.17230000000000001</v>
      </c>
      <c r="E75" s="27">
        <v>5.22</v>
      </c>
      <c r="F75" s="27">
        <v>1.5509999999999999</v>
      </c>
      <c r="G75" s="27" t="s">
        <v>10</v>
      </c>
      <c r="H75" s="43">
        <v>27.23</v>
      </c>
      <c r="L75" s="44">
        <v>0.57999999999999996</v>
      </c>
      <c r="M75" s="45">
        <v>0.17230000000000001</v>
      </c>
      <c r="N75" s="47">
        <v>6.38</v>
      </c>
      <c r="O75" s="46">
        <v>1.8956666666666671</v>
      </c>
      <c r="P75" s="45" t="s">
        <v>10</v>
      </c>
      <c r="Q75" s="45">
        <v>27.23</v>
      </c>
      <c r="R75" s="26">
        <f>ATAN($V$8/($X$8*N75*0.0254))*180/PI()</f>
        <v>10.149648953964114</v>
      </c>
      <c r="S75" s="28">
        <f t="shared" si="2"/>
        <v>17.080351046035886</v>
      </c>
    </row>
    <row r="76" spans="3:19" x14ac:dyDescent="0.55000000000000004">
      <c r="C76" s="42">
        <v>0.6</v>
      </c>
      <c r="D76" s="27">
        <v>0.16900000000000001</v>
      </c>
      <c r="E76" s="27">
        <v>5.4</v>
      </c>
      <c r="F76" s="27">
        <v>1.5209999999999999</v>
      </c>
      <c r="G76" s="27" t="s">
        <v>10</v>
      </c>
      <c r="H76" s="43">
        <v>26.82</v>
      </c>
      <c r="L76" s="44">
        <v>0.6</v>
      </c>
      <c r="M76" s="45">
        <v>0.16900000000000001</v>
      </c>
      <c r="N76" s="47">
        <v>6.6000000000000014</v>
      </c>
      <c r="O76" s="46">
        <v>1.859</v>
      </c>
      <c r="P76" s="45" t="s">
        <v>10</v>
      </c>
      <c r="Q76" s="45">
        <v>26.82</v>
      </c>
      <c r="R76" s="26">
        <f>ATAN($V$8/($X$8*N76*0.0254))*180/PI()</f>
        <v>9.8180212125493309</v>
      </c>
      <c r="S76" s="28">
        <f t="shared" si="2"/>
        <v>17.001978787450668</v>
      </c>
    </row>
    <row r="77" spans="3:19" x14ac:dyDescent="0.55000000000000004">
      <c r="C77" s="42">
        <v>0.62</v>
      </c>
      <c r="D77" s="27">
        <v>0.1656</v>
      </c>
      <c r="E77" s="27">
        <v>5.58</v>
      </c>
      <c r="F77" s="27">
        <v>1.49</v>
      </c>
      <c r="G77" s="27" t="s">
        <v>10</v>
      </c>
      <c r="H77" s="43">
        <v>26.44</v>
      </c>
      <c r="L77" s="44">
        <v>0.62</v>
      </c>
      <c r="M77" s="45">
        <v>0.1656</v>
      </c>
      <c r="N77" s="47">
        <v>6.82</v>
      </c>
      <c r="O77" s="46">
        <v>1.8211111111111109</v>
      </c>
      <c r="P77" s="45" t="s">
        <v>10</v>
      </c>
      <c r="Q77" s="45">
        <v>26.44</v>
      </c>
      <c r="R77" s="26">
        <f>ATAN($V$8/($X$8*N77*0.0254))*180/PI()</f>
        <v>9.5071857808997713</v>
      </c>
      <c r="S77" s="28">
        <f t="shared" si="2"/>
        <v>16.93281421910023</v>
      </c>
    </row>
    <row r="78" spans="3:19" x14ac:dyDescent="0.55000000000000004">
      <c r="C78" s="42">
        <v>0.64</v>
      </c>
      <c r="D78" s="27">
        <v>0.16220000000000001</v>
      </c>
      <c r="E78" s="27">
        <v>5.76</v>
      </c>
      <c r="F78" s="27">
        <v>1.46</v>
      </c>
      <c r="G78" s="27" t="s">
        <v>10</v>
      </c>
      <c r="H78" s="43">
        <v>26.07</v>
      </c>
      <c r="L78" s="44">
        <v>0.64</v>
      </c>
      <c r="M78" s="45">
        <v>0.16220000000000001</v>
      </c>
      <c r="N78" s="47">
        <v>7.04</v>
      </c>
      <c r="O78" s="46">
        <v>1.7844444444444441</v>
      </c>
      <c r="P78" s="45" t="s">
        <v>10</v>
      </c>
      <c r="Q78" s="45">
        <v>26.07</v>
      </c>
      <c r="R78" s="26">
        <f>ATAN($V$8/($X$8*N78*0.0254))*180/PI()</f>
        <v>9.2152633456643951</v>
      </c>
      <c r="S78" s="28">
        <f t="shared" si="2"/>
        <v>16.854736654335603</v>
      </c>
    </row>
    <row r="79" spans="3:19" x14ac:dyDescent="0.55000000000000004">
      <c r="C79" s="42">
        <v>0.68</v>
      </c>
      <c r="D79" s="27">
        <v>0.1552</v>
      </c>
      <c r="E79" s="27">
        <v>6.12</v>
      </c>
      <c r="F79" s="27">
        <v>1.397</v>
      </c>
      <c r="G79" s="27" t="s">
        <v>10</v>
      </c>
      <c r="H79" s="43">
        <v>25.4</v>
      </c>
      <c r="L79" s="44">
        <v>0.68</v>
      </c>
      <c r="M79" s="45">
        <v>0.1552</v>
      </c>
      <c r="N79" s="47">
        <v>7.48</v>
      </c>
      <c r="O79" s="46">
        <v>1.707444444444445</v>
      </c>
      <c r="P79" s="45" t="s">
        <v>10</v>
      </c>
      <c r="Q79" s="45">
        <v>25.4</v>
      </c>
      <c r="R79" s="26">
        <f>ATAN($V$8/($X$8*N79*0.0254))*180/PI()</f>
        <v>8.681699664153621</v>
      </c>
      <c r="S79" s="28">
        <f t="shared" si="2"/>
        <v>16.718300335846379</v>
      </c>
    </row>
    <row r="80" spans="3:19" x14ac:dyDescent="0.55000000000000004">
      <c r="C80" s="42">
        <v>0.7</v>
      </c>
      <c r="D80" s="27">
        <v>0.1517</v>
      </c>
      <c r="E80" s="27">
        <v>6.3</v>
      </c>
      <c r="F80" s="27">
        <v>1.365</v>
      </c>
      <c r="G80" s="27" t="s">
        <v>10</v>
      </c>
      <c r="H80" s="43">
        <v>25.08</v>
      </c>
      <c r="L80" s="44">
        <v>0.7</v>
      </c>
      <c r="M80" s="45">
        <v>0.1517</v>
      </c>
      <c r="N80" s="47">
        <v>7.7</v>
      </c>
      <c r="O80" s="46">
        <v>1.668333333333333</v>
      </c>
      <c r="P80" s="45" t="s">
        <v>10</v>
      </c>
      <c r="Q80" s="45">
        <v>25.08</v>
      </c>
      <c r="R80" s="26">
        <f>ATAN($V$8/($X$8*N80*0.0254))*180/PI()</f>
        <v>8.4372728000444379</v>
      </c>
      <c r="S80" s="28">
        <f t="shared" si="2"/>
        <v>16.642727199955559</v>
      </c>
    </row>
    <row r="81" spans="3:19" x14ac:dyDescent="0.55000000000000004">
      <c r="C81" s="42">
        <v>0.72</v>
      </c>
      <c r="D81" s="27">
        <v>0.14810000000000001</v>
      </c>
      <c r="E81" s="27">
        <v>6.48</v>
      </c>
      <c r="F81" s="27">
        <v>1.333</v>
      </c>
      <c r="G81" s="27" t="s">
        <v>10</v>
      </c>
      <c r="H81" s="43">
        <v>24.79</v>
      </c>
      <c r="L81" s="44">
        <v>0.72</v>
      </c>
      <c r="M81" s="45">
        <v>0.14810000000000001</v>
      </c>
      <c r="N81" s="47">
        <v>7.9200000000000008</v>
      </c>
      <c r="O81" s="46">
        <v>1.6292222222222219</v>
      </c>
      <c r="P81" s="45" t="s">
        <v>10</v>
      </c>
      <c r="Q81" s="45">
        <v>24.79</v>
      </c>
      <c r="R81" s="26">
        <f>ATAN($V$8/($X$8*N81*0.0254))*180/PI()</f>
        <v>8.2061406645918442</v>
      </c>
      <c r="S81" s="28">
        <f t="shared" si="2"/>
        <v>16.583859335408157</v>
      </c>
    </row>
    <row r="82" spans="3:19" x14ac:dyDescent="0.55000000000000004">
      <c r="C82" s="42">
        <v>0.74</v>
      </c>
      <c r="D82" s="27">
        <v>0.14410000000000001</v>
      </c>
      <c r="E82" s="27">
        <v>6.66</v>
      </c>
      <c r="F82" s="27">
        <v>1.2969999999999999</v>
      </c>
      <c r="G82" s="27" t="s">
        <v>10</v>
      </c>
      <c r="H82" s="43">
        <v>24.5</v>
      </c>
      <c r="L82" s="44">
        <v>0.74</v>
      </c>
      <c r="M82" s="45">
        <v>0.14410000000000001</v>
      </c>
      <c r="N82" s="47">
        <v>8.14</v>
      </c>
      <c r="O82" s="46">
        <v>1.5852222222222221</v>
      </c>
      <c r="P82" s="45" t="s">
        <v>10</v>
      </c>
      <c r="Q82" s="45">
        <v>24.5</v>
      </c>
      <c r="R82" s="26">
        <f>ATAN($V$8/($X$8*N82*0.0254))*180/PI()</f>
        <v>7.9872542422708799</v>
      </c>
      <c r="S82" s="28">
        <f t="shared" si="2"/>
        <v>16.512745757729121</v>
      </c>
    </row>
    <row r="83" spans="3:19" x14ac:dyDescent="0.55000000000000004">
      <c r="C83" s="42">
        <v>0.76</v>
      </c>
      <c r="D83" s="27">
        <v>0.1401</v>
      </c>
      <c r="E83" s="27">
        <v>6.84</v>
      </c>
      <c r="F83" s="27">
        <v>1.2609999999999999</v>
      </c>
      <c r="G83" s="27" t="s">
        <v>38</v>
      </c>
      <c r="H83" s="43">
        <v>24.22</v>
      </c>
      <c r="L83" s="44">
        <v>0.76</v>
      </c>
      <c r="M83" s="45">
        <v>0.1401</v>
      </c>
      <c r="N83" s="47">
        <v>8.3600000000000012</v>
      </c>
      <c r="O83" s="46">
        <v>1.541222222222222</v>
      </c>
      <c r="P83" s="45" t="s">
        <v>38</v>
      </c>
      <c r="Q83" s="45">
        <v>24.22</v>
      </c>
      <c r="R83" s="26">
        <f>ATAN($V$8/($X$8*N83*0.0254))*180/PI()</f>
        <v>7.7796713664327912</v>
      </c>
      <c r="S83" s="28">
        <f t="shared" si="2"/>
        <v>16.440328633567209</v>
      </c>
    </row>
    <row r="84" spans="3:19" x14ac:dyDescent="0.55000000000000004">
      <c r="C84" s="42">
        <v>0.78</v>
      </c>
      <c r="D84" s="27">
        <v>0.13619999999999999</v>
      </c>
      <c r="E84" s="27">
        <v>7.02</v>
      </c>
      <c r="F84" s="27">
        <v>1.226</v>
      </c>
      <c r="G84" s="27" t="s">
        <v>38</v>
      </c>
      <c r="H84" s="43">
        <v>23.96</v>
      </c>
      <c r="L84" s="44">
        <v>0.78</v>
      </c>
      <c r="M84" s="45">
        <v>0.13619999999999999</v>
      </c>
      <c r="N84" s="47">
        <v>8.58</v>
      </c>
      <c r="O84" s="46">
        <v>1.498444444444444</v>
      </c>
      <c r="P84" s="45" t="s">
        <v>38</v>
      </c>
      <c r="Q84" s="45">
        <v>23.96</v>
      </c>
      <c r="R84" s="26">
        <f>ATAN($V$8/($X$8*N84*0.0254))*180/PI()</f>
        <v>7.5825435358255451</v>
      </c>
      <c r="S84" s="28">
        <f t="shared" si="2"/>
        <v>16.377456464174458</v>
      </c>
    </row>
    <row r="85" spans="3:19" x14ac:dyDescent="0.55000000000000004">
      <c r="C85" s="42">
        <v>0.8</v>
      </c>
      <c r="D85" s="27">
        <v>0.13220000000000001</v>
      </c>
      <c r="E85" s="27">
        <v>7.2</v>
      </c>
      <c r="F85" s="27">
        <v>1.19</v>
      </c>
      <c r="G85" s="27" t="s">
        <v>38</v>
      </c>
      <c r="H85" s="43">
        <v>23.71</v>
      </c>
      <c r="L85" s="44">
        <v>0.8</v>
      </c>
      <c r="M85" s="45">
        <v>0.13220000000000001</v>
      </c>
      <c r="N85" s="47">
        <v>8.8000000000000007</v>
      </c>
      <c r="O85" s="46">
        <v>1.454444444444444</v>
      </c>
      <c r="P85" s="45" t="s">
        <v>38</v>
      </c>
      <c r="Q85" s="45">
        <v>23.71</v>
      </c>
      <c r="R85" s="26">
        <f>ATAN($V$8/($X$8*N85*0.0254))*180/PI()</f>
        <v>7.3951046243412941</v>
      </c>
      <c r="S85" s="28">
        <f t="shared" si="2"/>
        <v>16.314895375658708</v>
      </c>
    </row>
    <row r="86" spans="3:19" x14ac:dyDescent="0.55000000000000004">
      <c r="C86" s="42">
        <v>0.82</v>
      </c>
      <c r="D86" s="27">
        <v>0.1283</v>
      </c>
      <c r="E86" s="27">
        <v>7.38</v>
      </c>
      <c r="F86" s="27">
        <v>1.1539999999999999</v>
      </c>
      <c r="G86" s="27" t="s">
        <v>42</v>
      </c>
      <c r="H86" s="43">
        <v>23.46</v>
      </c>
      <c r="L86" s="44">
        <v>0.82</v>
      </c>
      <c r="M86" s="45">
        <v>0.1283</v>
      </c>
      <c r="N86" s="47">
        <v>9.0200000000000014</v>
      </c>
      <c r="O86" s="46">
        <v>1.4104444444444439</v>
      </c>
      <c r="P86" s="45" t="s">
        <v>42</v>
      </c>
      <c r="Q86" s="45">
        <v>23.46</v>
      </c>
      <c r="R86" s="26">
        <f>ATAN($V$8/($X$8*N86*0.0254))*180/PI()</f>
        <v>7.2166611761115336</v>
      </c>
      <c r="S86" s="28">
        <f t="shared" si="2"/>
        <v>16.243338823888468</v>
      </c>
    </row>
    <row r="87" spans="3:19" x14ac:dyDescent="0.55000000000000004">
      <c r="C87" s="42">
        <v>0.86</v>
      </c>
      <c r="D87" s="27">
        <v>0.1203</v>
      </c>
      <c r="E87" s="27">
        <v>7.74</v>
      </c>
      <c r="F87" s="27">
        <v>1.083</v>
      </c>
      <c r="G87" s="27" t="s">
        <v>42</v>
      </c>
      <c r="H87" s="43">
        <v>23</v>
      </c>
      <c r="L87" s="44">
        <v>0.86</v>
      </c>
      <c r="M87" s="45">
        <v>0.1203</v>
      </c>
      <c r="N87" s="47">
        <v>9.4600000000000009</v>
      </c>
      <c r="O87" s="46">
        <v>1.323666666666667</v>
      </c>
      <c r="P87" s="45" t="s">
        <v>42</v>
      </c>
      <c r="Q87" s="45">
        <v>23</v>
      </c>
      <c r="R87" s="26">
        <f>ATAN($V$8/($X$8*N87*0.0254))*180/PI()</f>
        <v>6.8843010913334535</v>
      </c>
      <c r="S87" s="28">
        <f t="shared" si="2"/>
        <v>16.115698908666545</v>
      </c>
    </row>
    <row r="88" spans="3:19" x14ac:dyDescent="0.55000000000000004">
      <c r="C88" s="42">
        <v>0.88</v>
      </c>
      <c r="D88" s="27">
        <v>0.1164</v>
      </c>
      <c r="E88" s="27">
        <v>7.92</v>
      </c>
      <c r="F88" s="27">
        <v>1.0469999999999999</v>
      </c>
      <c r="G88" s="27" t="s">
        <v>45</v>
      </c>
      <c r="H88" s="43">
        <v>22.78</v>
      </c>
      <c r="L88" s="44">
        <v>0.88</v>
      </c>
      <c r="M88" s="45">
        <v>0.1164</v>
      </c>
      <c r="N88" s="47">
        <v>9.6800000000000015</v>
      </c>
      <c r="O88" s="46">
        <v>1.279666666666667</v>
      </c>
      <c r="P88" s="45" t="s">
        <v>45</v>
      </c>
      <c r="Q88" s="45">
        <v>22.78</v>
      </c>
      <c r="R88" s="26">
        <f>ATAN($V$8/($X$8*N88*0.0254))*180/PI()</f>
        <v>6.7292910025529444</v>
      </c>
      <c r="S88" s="28">
        <f t="shared" si="2"/>
        <v>16.050708997447057</v>
      </c>
    </row>
    <row r="89" spans="3:19" x14ac:dyDescent="0.55000000000000004">
      <c r="C89" s="42">
        <v>0.91</v>
      </c>
      <c r="D89" s="27">
        <v>0.1104</v>
      </c>
      <c r="E89" s="27">
        <v>8.19</v>
      </c>
      <c r="F89" s="27">
        <v>0.99399999999999999</v>
      </c>
      <c r="G89" s="27" t="s">
        <v>47</v>
      </c>
      <c r="H89" s="43">
        <v>22.07</v>
      </c>
      <c r="L89" s="44">
        <v>0.91</v>
      </c>
      <c r="M89" s="45">
        <v>0.1104</v>
      </c>
      <c r="N89" s="47">
        <v>10.01</v>
      </c>
      <c r="O89" s="46">
        <v>1.2148888888888889</v>
      </c>
      <c r="P89" s="45" t="s">
        <v>47</v>
      </c>
      <c r="Q89" s="45">
        <v>22.07</v>
      </c>
      <c r="R89" s="26">
        <f>ATAN($V$8/($X$8*N89*0.0254))*180/PI()</f>
        <v>6.5093822571785083</v>
      </c>
      <c r="S89" s="28">
        <f t="shared" si="2"/>
        <v>15.560617742821492</v>
      </c>
    </row>
    <row r="90" spans="3:19" x14ac:dyDescent="0.55000000000000004">
      <c r="C90" s="42">
        <v>0.94940000000000002</v>
      </c>
      <c r="D90" s="27">
        <v>0.1026</v>
      </c>
      <c r="E90" s="27">
        <v>8.5449999999999999</v>
      </c>
      <c r="F90" s="27">
        <v>0.92400000000000004</v>
      </c>
      <c r="G90" s="27" t="s">
        <v>51</v>
      </c>
      <c r="H90" s="43">
        <v>21.8</v>
      </c>
      <c r="L90" s="44">
        <v>0.94940000000000002</v>
      </c>
      <c r="M90" s="45">
        <v>0.1026</v>
      </c>
      <c r="N90" s="47">
        <v>10.443888888888891</v>
      </c>
      <c r="O90" s="46">
        <v>1.129333333333334</v>
      </c>
      <c r="P90" s="45" t="s">
        <v>51</v>
      </c>
      <c r="Q90" s="45">
        <v>21.8</v>
      </c>
      <c r="R90" s="26">
        <f>ATAN($V$8/($X$8*N90*0.0254))*180/PI()</f>
        <v>6.2411312614386949</v>
      </c>
      <c r="S90" s="28">
        <f t="shared" si="2"/>
        <v>15.558868738561305</v>
      </c>
    </row>
    <row r="91" spans="3:19" x14ac:dyDescent="0.55000000000000004">
      <c r="C91" s="42">
        <v>0.97860000000000003</v>
      </c>
      <c r="D91" s="27">
        <v>9.6799999999999997E-2</v>
      </c>
      <c r="E91" s="27">
        <v>8.8070000000000004</v>
      </c>
      <c r="F91" s="27">
        <v>0.872</v>
      </c>
      <c r="G91" s="27" t="s">
        <v>51</v>
      </c>
      <c r="H91" s="43">
        <v>21.61</v>
      </c>
      <c r="L91" s="44">
        <v>0.97860000000000003</v>
      </c>
      <c r="M91" s="45">
        <v>9.6799999999999997E-2</v>
      </c>
      <c r="N91" s="47">
        <v>10.764111111111109</v>
      </c>
      <c r="O91" s="46">
        <v>1.0657777777777779</v>
      </c>
      <c r="P91" s="45" t="s">
        <v>51</v>
      </c>
      <c r="Q91" s="45">
        <v>21.61</v>
      </c>
      <c r="R91" s="26">
        <f>ATAN($V$8/($X$8*N91*0.0254))*180/PI()</f>
        <v>6.0568644986727911</v>
      </c>
      <c r="S91" s="28">
        <f t="shared" si="2"/>
        <v>15.553135501327208</v>
      </c>
    </row>
    <row r="92" spans="3:19" ht="14.7" thickBot="1" x14ac:dyDescent="0.6">
      <c r="C92" s="48">
        <v>0.99970000000000003</v>
      </c>
      <c r="D92" s="49">
        <v>9.2700000000000005E-2</v>
      </c>
      <c r="E92" s="49">
        <v>8.9969999999999999</v>
      </c>
      <c r="F92" s="49">
        <v>0.83399999999999996</v>
      </c>
      <c r="G92" s="49" t="s">
        <v>53</v>
      </c>
      <c r="H92" s="50">
        <v>21</v>
      </c>
      <c r="L92" s="51">
        <v>0.99970000000000003</v>
      </c>
      <c r="M92" s="52">
        <v>9.2700000000000005E-2</v>
      </c>
      <c r="N92" s="53">
        <v>10.996333333333331</v>
      </c>
      <c r="O92" s="54">
        <v>1.019333333333333</v>
      </c>
      <c r="P92" s="52" t="s">
        <v>53</v>
      </c>
      <c r="Q92" s="52">
        <v>21</v>
      </c>
      <c r="R92" s="55">
        <f>ATAN($V$8/($X$8*N92*0.0254))*180/PI()</f>
        <v>5.9298758797768327</v>
      </c>
      <c r="S92" s="56">
        <f t="shared" si="2"/>
        <v>15.070124120223166</v>
      </c>
    </row>
  </sheetData>
  <mergeCells count="4">
    <mergeCell ref="C54:H54"/>
    <mergeCell ref="L54:S54"/>
    <mergeCell ref="C4:H4"/>
    <mergeCell ref="L4:S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Zeke Bukovansky</dc:creator>
  <cp:lastModifiedBy>Zeke Bukovansky</cp:lastModifiedBy>
  <dcterms:created xsi:type="dcterms:W3CDTF">2026-05-19T19:46:51Z</dcterms:created>
  <dcterms:modified xsi:type="dcterms:W3CDTF">2026-05-19T19:51:29Z</dcterms:modified>
</cp:coreProperties>
</file>